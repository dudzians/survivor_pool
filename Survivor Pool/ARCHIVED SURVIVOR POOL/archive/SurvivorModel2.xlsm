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ahs\Cursor Projects\archive\"/>
    </mc:Choice>
  </mc:AlternateContent>
  <xr:revisionPtr revIDLastSave="0" documentId="13_ncr:1_{6D9B4689-1491-48BE-8FDD-DC272416DA2C}" xr6:coauthVersionLast="47" xr6:coauthVersionMax="47" xr10:uidLastSave="{00000000-0000-0000-0000-000000000000}"/>
  <bookViews>
    <workbookView xWindow="-108" yWindow="-108" windowWidth="30936" windowHeight="16776" xr2:uid="{9D8F23A6-82CE-41ED-AF94-E7F0D209E396}"/>
  </bookViews>
  <sheets>
    <sheet name="Schedule" sheetId="1" r:id="rId1"/>
    <sheet name="Sheet2" sheetId="2" r:id="rId2"/>
    <sheet name="Picks" sheetId="10" r:id="rId3"/>
    <sheet name="Teams" sheetId="3" r:id="rId4"/>
  </sheets>
  <definedNames>
    <definedName name="_xlnm._FilterDatabase" localSheetId="0" hidden="1">Schedule!$A$1:$I$64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4" i="1" l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N4" i="1"/>
  <c r="N3" i="1"/>
  <c r="N2" i="1"/>
  <c r="N6" i="1"/>
  <c r="S66" i="2"/>
  <c r="R66" i="2"/>
  <c r="Q66" i="2"/>
  <c r="P66" i="2"/>
  <c r="O66" i="2"/>
  <c r="N66" i="2"/>
  <c r="M66" i="2"/>
  <c r="S65" i="2"/>
  <c r="R65" i="2"/>
  <c r="Q65" i="2"/>
  <c r="P65" i="2"/>
  <c r="O65" i="2"/>
  <c r="N65" i="2"/>
  <c r="M65" i="2"/>
  <c r="S64" i="2"/>
  <c r="R64" i="2"/>
  <c r="Q64" i="2"/>
  <c r="P64" i="2"/>
  <c r="O64" i="2"/>
  <c r="N64" i="2"/>
  <c r="M64" i="2"/>
  <c r="S63" i="2"/>
  <c r="R63" i="2"/>
  <c r="Q63" i="2"/>
  <c r="P63" i="2"/>
  <c r="O63" i="2"/>
  <c r="N63" i="2"/>
  <c r="M63" i="2"/>
  <c r="S62" i="2"/>
  <c r="R62" i="2"/>
  <c r="Q62" i="2"/>
  <c r="P62" i="2"/>
  <c r="O62" i="2"/>
  <c r="N62" i="2"/>
  <c r="M62" i="2"/>
  <c r="S61" i="2"/>
  <c r="R61" i="2"/>
  <c r="Q61" i="2"/>
  <c r="P61" i="2"/>
  <c r="O61" i="2"/>
  <c r="N61" i="2"/>
  <c r="M61" i="2"/>
  <c r="S60" i="2"/>
  <c r="R60" i="2"/>
  <c r="Q60" i="2"/>
  <c r="P60" i="2"/>
  <c r="O60" i="2"/>
  <c r="N60" i="2"/>
  <c r="M60" i="2"/>
  <c r="S59" i="2"/>
  <c r="R59" i="2"/>
  <c r="Q59" i="2"/>
  <c r="P59" i="2"/>
  <c r="O59" i="2"/>
  <c r="N59" i="2"/>
  <c r="M59" i="2"/>
  <c r="S58" i="2"/>
  <c r="R58" i="2"/>
  <c r="Q58" i="2"/>
  <c r="P58" i="2"/>
  <c r="O58" i="2"/>
  <c r="N58" i="2"/>
  <c r="M58" i="2"/>
  <c r="S57" i="2"/>
  <c r="R57" i="2"/>
  <c r="Q57" i="2"/>
  <c r="P57" i="2"/>
  <c r="O57" i="2"/>
  <c r="N57" i="2"/>
  <c r="M57" i="2"/>
  <c r="S56" i="2"/>
  <c r="R56" i="2"/>
  <c r="Q56" i="2"/>
  <c r="P56" i="2"/>
  <c r="O56" i="2"/>
  <c r="N56" i="2"/>
  <c r="M56" i="2"/>
  <c r="S55" i="2"/>
  <c r="R55" i="2"/>
  <c r="Q55" i="2"/>
  <c r="P55" i="2"/>
  <c r="O55" i="2"/>
  <c r="N55" i="2"/>
  <c r="M55" i="2"/>
  <c r="S54" i="2"/>
  <c r="R54" i="2"/>
  <c r="Q54" i="2"/>
  <c r="P54" i="2"/>
  <c r="O54" i="2"/>
  <c r="N54" i="2"/>
  <c r="M54" i="2"/>
  <c r="S53" i="2"/>
  <c r="R53" i="2"/>
  <c r="Q53" i="2"/>
  <c r="P53" i="2"/>
  <c r="O53" i="2"/>
  <c r="N53" i="2"/>
  <c r="M53" i="2"/>
  <c r="S52" i="2"/>
  <c r="R52" i="2"/>
  <c r="Q52" i="2"/>
  <c r="P52" i="2"/>
  <c r="O52" i="2"/>
  <c r="N52" i="2"/>
  <c r="M52" i="2"/>
  <c r="S51" i="2"/>
  <c r="R51" i="2"/>
  <c r="Q51" i="2"/>
  <c r="P51" i="2"/>
  <c r="O51" i="2"/>
  <c r="N51" i="2"/>
  <c r="M51" i="2"/>
  <c r="S50" i="2"/>
  <c r="R50" i="2"/>
  <c r="Q50" i="2"/>
  <c r="P50" i="2"/>
  <c r="O50" i="2"/>
  <c r="N50" i="2"/>
  <c r="M50" i="2"/>
  <c r="S49" i="2"/>
  <c r="R49" i="2"/>
  <c r="Q49" i="2"/>
  <c r="P49" i="2"/>
  <c r="O49" i="2"/>
  <c r="N49" i="2"/>
  <c r="M49" i="2"/>
  <c r="S48" i="2"/>
  <c r="R48" i="2"/>
  <c r="Q48" i="2"/>
  <c r="P48" i="2"/>
  <c r="O48" i="2"/>
  <c r="N48" i="2"/>
  <c r="M48" i="2"/>
  <c r="S47" i="2"/>
  <c r="R47" i="2"/>
  <c r="Q47" i="2"/>
  <c r="P47" i="2"/>
  <c r="O47" i="2"/>
  <c r="N47" i="2"/>
  <c r="M47" i="2"/>
  <c r="S46" i="2"/>
  <c r="R46" i="2"/>
  <c r="Q46" i="2"/>
  <c r="P46" i="2"/>
  <c r="O46" i="2"/>
  <c r="N46" i="2"/>
  <c r="M46" i="2"/>
  <c r="S45" i="2"/>
  <c r="R45" i="2"/>
  <c r="Q45" i="2"/>
  <c r="P45" i="2"/>
  <c r="O45" i="2"/>
  <c r="N45" i="2"/>
  <c r="M45" i="2"/>
  <c r="S44" i="2"/>
  <c r="R44" i="2"/>
  <c r="Q44" i="2"/>
  <c r="P44" i="2"/>
  <c r="O44" i="2"/>
  <c r="N44" i="2"/>
  <c r="M44" i="2"/>
  <c r="S43" i="2"/>
  <c r="R43" i="2"/>
  <c r="Q43" i="2"/>
  <c r="P43" i="2"/>
  <c r="O43" i="2"/>
  <c r="N43" i="2"/>
  <c r="M43" i="2"/>
  <c r="S42" i="2"/>
  <c r="R42" i="2"/>
  <c r="Q42" i="2"/>
  <c r="P42" i="2"/>
  <c r="O42" i="2"/>
  <c r="N42" i="2"/>
  <c r="M42" i="2"/>
  <c r="S41" i="2"/>
  <c r="R41" i="2"/>
  <c r="Q41" i="2"/>
  <c r="P41" i="2"/>
  <c r="O41" i="2"/>
  <c r="N41" i="2"/>
  <c r="M41" i="2"/>
  <c r="S40" i="2"/>
  <c r="R40" i="2"/>
  <c r="Q40" i="2"/>
  <c r="P40" i="2"/>
  <c r="O40" i="2"/>
  <c r="N40" i="2"/>
  <c r="M40" i="2"/>
  <c r="S39" i="2"/>
  <c r="R39" i="2"/>
  <c r="Q39" i="2"/>
  <c r="P39" i="2"/>
  <c r="O39" i="2"/>
  <c r="N39" i="2"/>
  <c r="M39" i="2"/>
  <c r="S38" i="2"/>
  <c r="R38" i="2"/>
  <c r="Q38" i="2"/>
  <c r="P38" i="2"/>
  <c r="O38" i="2"/>
  <c r="N38" i="2"/>
  <c r="M38" i="2"/>
  <c r="S37" i="2"/>
  <c r="R37" i="2"/>
  <c r="Q37" i="2"/>
  <c r="P37" i="2"/>
  <c r="O37" i="2"/>
  <c r="N37" i="2"/>
  <c r="M37" i="2"/>
  <c r="S36" i="2"/>
  <c r="R36" i="2"/>
  <c r="Q36" i="2"/>
  <c r="P36" i="2"/>
  <c r="O36" i="2"/>
  <c r="N36" i="2"/>
  <c r="M36" i="2"/>
  <c r="S35" i="2"/>
  <c r="R35" i="2"/>
  <c r="Q35" i="2"/>
  <c r="P35" i="2"/>
  <c r="O35" i="2"/>
  <c r="N35" i="2"/>
  <c r="M35" i="2"/>
  <c r="S34" i="2"/>
  <c r="R34" i="2"/>
  <c r="Q34" i="2"/>
  <c r="P34" i="2"/>
  <c r="O34" i="2"/>
  <c r="N34" i="2"/>
  <c r="M34" i="2"/>
  <c r="S33" i="2"/>
  <c r="R33" i="2"/>
  <c r="Q33" i="2"/>
  <c r="P33" i="2"/>
  <c r="O33" i="2"/>
  <c r="N33" i="2"/>
  <c r="M33" i="2"/>
  <c r="S32" i="2"/>
  <c r="R32" i="2"/>
  <c r="Q32" i="2"/>
  <c r="P32" i="2"/>
  <c r="O32" i="2"/>
  <c r="N32" i="2"/>
  <c r="M32" i="2"/>
  <c r="S31" i="2"/>
  <c r="R31" i="2"/>
  <c r="Q31" i="2"/>
  <c r="P31" i="2"/>
  <c r="O31" i="2"/>
  <c r="N31" i="2"/>
  <c r="M31" i="2"/>
  <c r="S30" i="2"/>
  <c r="R30" i="2"/>
  <c r="Q30" i="2"/>
  <c r="P30" i="2"/>
  <c r="O30" i="2"/>
  <c r="N30" i="2"/>
  <c r="M30" i="2"/>
  <c r="S29" i="2"/>
  <c r="R29" i="2"/>
  <c r="Q29" i="2"/>
  <c r="P29" i="2"/>
  <c r="O29" i="2"/>
  <c r="N29" i="2"/>
  <c r="M29" i="2"/>
  <c r="S28" i="2"/>
  <c r="R28" i="2"/>
  <c r="Q28" i="2"/>
  <c r="P28" i="2"/>
  <c r="O28" i="2"/>
  <c r="N28" i="2"/>
  <c r="M28" i="2"/>
  <c r="S27" i="2"/>
  <c r="R27" i="2"/>
  <c r="Q27" i="2"/>
  <c r="P27" i="2"/>
  <c r="O27" i="2"/>
  <c r="N27" i="2"/>
  <c r="M27" i="2"/>
  <c r="S26" i="2"/>
  <c r="R26" i="2"/>
  <c r="Q26" i="2"/>
  <c r="P26" i="2"/>
  <c r="O26" i="2"/>
  <c r="N26" i="2"/>
  <c r="M26" i="2"/>
  <c r="S25" i="2"/>
  <c r="R25" i="2"/>
  <c r="Q25" i="2"/>
  <c r="P25" i="2"/>
  <c r="O25" i="2"/>
  <c r="N25" i="2"/>
  <c r="M25" i="2"/>
  <c r="S24" i="2"/>
  <c r="R24" i="2"/>
  <c r="Q24" i="2"/>
  <c r="P24" i="2"/>
  <c r="O24" i="2"/>
  <c r="N24" i="2"/>
  <c r="M24" i="2"/>
  <c r="S23" i="2"/>
  <c r="R23" i="2"/>
  <c r="Q23" i="2"/>
  <c r="P23" i="2"/>
  <c r="O23" i="2"/>
  <c r="N23" i="2"/>
  <c r="M23" i="2"/>
  <c r="S22" i="2"/>
  <c r="R22" i="2"/>
  <c r="Q22" i="2"/>
  <c r="P22" i="2"/>
  <c r="O22" i="2"/>
  <c r="N22" i="2"/>
  <c r="M22" i="2"/>
  <c r="S21" i="2"/>
  <c r="R21" i="2"/>
  <c r="Q21" i="2"/>
  <c r="P21" i="2"/>
  <c r="O21" i="2"/>
  <c r="N21" i="2"/>
  <c r="M21" i="2"/>
  <c r="S20" i="2"/>
  <c r="R20" i="2"/>
  <c r="Q20" i="2"/>
  <c r="P20" i="2"/>
  <c r="O20" i="2"/>
  <c r="N20" i="2"/>
  <c r="M20" i="2"/>
  <c r="S19" i="2"/>
  <c r="R19" i="2"/>
  <c r="Q19" i="2"/>
  <c r="P19" i="2"/>
  <c r="O19" i="2"/>
  <c r="N19" i="2"/>
  <c r="M19" i="2"/>
  <c r="S18" i="2"/>
  <c r="R18" i="2"/>
  <c r="Q18" i="2"/>
  <c r="P18" i="2"/>
  <c r="O18" i="2"/>
  <c r="N18" i="2"/>
  <c r="M18" i="2"/>
  <c r="S17" i="2"/>
  <c r="R17" i="2"/>
  <c r="Q17" i="2"/>
  <c r="P17" i="2"/>
  <c r="O17" i="2"/>
  <c r="N17" i="2"/>
  <c r="M17" i="2"/>
  <c r="S16" i="2"/>
  <c r="R16" i="2"/>
  <c r="Q16" i="2"/>
  <c r="P16" i="2"/>
  <c r="O16" i="2"/>
  <c r="N16" i="2"/>
  <c r="M16" i="2"/>
  <c r="S15" i="2"/>
  <c r="R15" i="2"/>
  <c r="Q15" i="2"/>
  <c r="P15" i="2"/>
  <c r="O15" i="2"/>
  <c r="N15" i="2"/>
  <c r="M15" i="2"/>
  <c r="S14" i="2"/>
  <c r="R14" i="2"/>
  <c r="Q14" i="2"/>
  <c r="P14" i="2"/>
  <c r="O14" i="2"/>
  <c r="N14" i="2"/>
  <c r="M14" i="2"/>
  <c r="S13" i="2"/>
  <c r="R13" i="2"/>
  <c r="Q13" i="2"/>
  <c r="P13" i="2"/>
  <c r="O13" i="2"/>
  <c r="N13" i="2"/>
  <c r="M13" i="2"/>
  <c r="S12" i="2"/>
  <c r="R12" i="2"/>
  <c r="Q12" i="2"/>
  <c r="P12" i="2"/>
  <c r="O12" i="2"/>
  <c r="N12" i="2"/>
  <c r="M12" i="2"/>
  <c r="S11" i="2"/>
  <c r="R11" i="2"/>
  <c r="Q11" i="2"/>
  <c r="P11" i="2"/>
  <c r="O11" i="2"/>
  <c r="N11" i="2"/>
  <c r="M11" i="2"/>
  <c r="S10" i="2"/>
  <c r="R10" i="2"/>
  <c r="Q10" i="2"/>
  <c r="P10" i="2"/>
  <c r="O10" i="2"/>
  <c r="N10" i="2"/>
  <c r="M10" i="2"/>
  <c r="S9" i="2"/>
  <c r="R9" i="2"/>
  <c r="Q9" i="2"/>
  <c r="P9" i="2"/>
  <c r="O9" i="2"/>
  <c r="N9" i="2"/>
  <c r="M9" i="2"/>
  <c r="S8" i="2"/>
  <c r="R8" i="2"/>
  <c r="Q8" i="2"/>
  <c r="P8" i="2"/>
  <c r="O8" i="2"/>
  <c r="N8" i="2"/>
  <c r="M8" i="2"/>
  <c r="S7" i="2"/>
  <c r="R7" i="2"/>
  <c r="Q7" i="2"/>
  <c r="P7" i="2"/>
  <c r="O7" i="2"/>
  <c r="N7" i="2"/>
  <c r="M7" i="2"/>
  <c r="S6" i="2"/>
  <c r="R6" i="2"/>
  <c r="Q6" i="2"/>
  <c r="P6" i="2"/>
  <c r="O6" i="2"/>
  <c r="N6" i="2"/>
  <c r="M6" i="2"/>
  <c r="S5" i="2"/>
  <c r="R5" i="2"/>
  <c r="Q5" i="2"/>
  <c r="P5" i="2"/>
  <c r="O5" i="2"/>
  <c r="N5" i="2"/>
  <c r="M5" i="2"/>
  <c r="S4" i="2"/>
  <c r="R4" i="2"/>
  <c r="Q4" i="2"/>
  <c r="P4" i="2"/>
  <c r="O4" i="2"/>
  <c r="N4" i="2"/>
  <c r="M4" i="2"/>
  <c r="S3" i="2"/>
  <c r="R3" i="2"/>
  <c r="Q3" i="2"/>
  <c r="P3" i="2"/>
  <c r="O3" i="2"/>
  <c r="N3" i="2"/>
  <c r="M3" i="2"/>
  <c r="G54" i="1"/>
  <c r="G53" i="1"/>
  <c r="G52" i="1"/>
  <c r="H52" i="1" s="1"/>
  <c r="F57" i="1" s="1"/>
  <c r="L57" i="1" s="1"/>
  <c r="G51" i="1"/>
  <c r="H51" i="1" s="1"/>
  <c r="E57" i="1" s="1"/>
  <c r="G50" i="1"/>
  <c r="G49" i="1"/>
  <c r="H49" i="1" s="1"/>
  <c r="E56" i="1" s="1"/>
  <c r="G48" i="1"/>
  <c r="G47" i="1"/>
  <c r="G39" i="1"/>
  <c r="H39" i="1" s="1"/>
  <c r="F43" i="1" s="1"/>
  <c r="L43" i="1" s="1"/>
  <c r="G38" i="1"/>
  <c r="H38" i="1" s="1"/>
  <c r="E43" i="1" s="1"/>
  <c r="G37" i="1"/>
  <c r="H37" i="1" s="1"/>
  <c r="F42" i="1" s="1"/>
  <c r="L42" i="1" s="1"/>
  <c r="G36" i="1"/>
  <c r="H36" i="1" s="1"/>
  <c r="E42" i="1" s="1"/>
  <c r="G35" i="1"/>
  <c r="H35" i="1" s="1"/>
  <c r="F41" i="1" s="1"/>
  <c r="L41" i="1" s="1"/>
  <c r="G34" i="1"/>
  <c r="H34" i="1" s="1"/>
  <c r="E41" i="1" s="1"/>
  <c r="G33" i="1"/>
  <c r="H33" i="1" s="1"/>
  <c r="F40" i="1" s="1"/>
  <c r="L40" i="1" s="1"/>
  <c r="G32" i="1"/>
  <c r="G24" i="1"/>
  <c r="G23" i="1"/>
  <c r="H23" i="1" s="1"/>
  <c r="E28" i="1" s="1"/>
  <c r="G22" i="1"/>
  <c r="G21" i="1"/>
  <c r="G20" i="1"/>
  <c r="G19" i="1"/>
  <c r="G18" i="1"/>
  <c r="G17" i="1"/>
  <c r="H17" i="1" s="1"/>
  <c r="E25" i="1" s="1"/>
  <c r="G9" i="1"/>
  <c r="H9" i="1" s="1"/>
  <c r="F13" i="1" s="1"/>
  <c r="L13" i="1" s="1"/>
  <c r="G8" i="1"/>
  <c r="G7" i="1"/>
  <c r="H7" i="1" s="1"/>
  <c r="F12" i="1" s="1"/>
  <c r="L12" i="1" s="1"/>
  <c r="G6" i="1"/>
  <c r="H6" i="1" s="1"/>
  <c r="E12" i="1" s="1"/>
  <c r="K12" i="1" s="1"/>
  <c r="G5" i="1"/>
  <c r="H5" i="1" s="1"/>
  <c r="F11" i="1" s="1"/>
  <c r="L11" i="1" s="1"/>
  <c r="G4" i="1"/>
  <c r="G3" i="1"/>
  <c r="H3" i="1" s="1"/>
  <c r="F10" i="1" s="1"/>
  <c r="L10" i="1" s="1"/>
  <c r="G2" i="1"/>
  <c r="L54" i="1"/>
  <c r="L53" i="1"/>
  <c r="L52" i="1"/>
  <c r="L51" i="1"/>
  <c r="L50" i="1"/>
  <c r="L49" i="1"/>
  <c r="L48" i="1"/>
  <c r="L47" i="1"/>
  <c r="L39" i="1"/>
  <c r="L38" i="1"/>
  <c r="L37" i="1"/>
  <c r="L36" i="1"/>
  <c r="L35" i="1"/>
  <c r="L34" i="1"/>
  <c r="L33" i="1"/>
  <c r="L32" i="1"/>
  <c r="L24" i="1"/>
  <c r="L23" i="1"/>
  <c r="L22" i="1"/>
  <c r="L21" i="1"/>
  <c r="L20" i="1"/>
  <c r="L19" i="1"/>
  <c r="L18" i="1"/>
  <c r="L17" i="1"/>
  <c r="L9" i="1"/>
  <c r="L8" i="1"/>
  <c r="L7" i="1"/>
  <c r="L6" i="1"/>
  <c r="L5" i="1"/>
  <c r="L4" i="1"/>
  <c r="L3" i="1"/>
  <c r="L2" i="1"/>
  <c r="K54" i="1"/>
  <c r="K53" i="1"/>
  <c r="K52" i="1"/>
  <c r="K51" i="1"/>
  <c r="K50" i="1"/>
  <c r="K49" i="1"/>
  <c r="K48" i="1"/>
  <c r="K47" i="1"/>
  <c r="K39" i="1"/>
  <c r="K38" i="1"/>
  <c r="K37" i="1"/>
  <c r="K36" i="1"/>
  <c r="K35" i="1"/>
  <c r="K34" i="1"/>
  <c r="K33" i="1"/>
  <c r="K32" i="1"/>
  <c r="K24" i="1"/>
  <c r="K23" i="1"/>
  <c r="K22" i="1"/>
  <c r="K21" i="1"/>
  <c r="K20" i="1"/>
  <c r="K19" i="1"/>
  <c r="K18" i="1"/>
  <c r="K17" i="1"/>
  <c r="K9" i="1"/>
  <c r="K8" i="1"/>
  <c r="K7" i="1"/>
  <c r="K6" i="1"/>
  <c r="K5" i="1"/>
  <c r="K4" i="1"/>
  <c r="K3" i="1"/>
  <c r="K2" i="1"/>
  <c r="H50" i="1"/>
  <c r="F56" i="1" s="1"/>
  <c r="L56" i="1" s="1"/>
  <c r="H48" i="1"/>
  <c r="F55" i="1" s="1"/>
  <c r="L55" i="1" s="1"/>
  <c r="H47" i="1"/>
  <c r="E55" i="1" s="1"/>
  <c r="H32" i="1"/>
  <c r="E40" i="1" s="1"/>
  <c r="H24" i="1"/>
  <c r="F28" i="1" s="1"/>
  <c r="L28" i="1" s="1"/>
  <c r="H22" i="1"/>
  <c r="F27" i="1" s="1"/>
  <c r="L27" i="1" s="1"/>
  <c r="H21" i="1"/>
  <c r="E27" i="1" s="1"/>
  <c r="H20" i="1"/>
  <c r="F26" i="1" s="1"/>
  <c r="L26" i="1" s="1"/>
  <c r="H19" i="1"/>
  <c r="E26" i="1" s="1"/>
  <c r="H18" i="1"/>
  <c r="F25" i="1" s="1"/>
  <c r="L25" i="1" s="1"/>
  <c r="H8" i="1"/>
  <c r="E13" i="1" s="1"/>
  <c r="K13" i="1" s="1"/>
  <c r="H4" i="1"/>
  <c r="E11" i="1" s="1"/>
  <c r="H2" i="1"/>
  <c r="E10" i="1" s="1"/>
  <c r="H54" i="1"/>
  <c r="F58" i="1" s="1"/>
  <c r="L58" i="1" s="1"/>
  <c r="H53" i="1"/>
  <c r="E58" i="1" s="1"/>
  <c r="G12" i="1" l="1"/>
  <c r="G13" i="1"/>
  <c r="K55" i="1"/>
  <c r="K56" i="1"/>
  <c r="K57" i="1"/>
  <c r="K58" i="1"/>
  <c r="K40" i="1"/>
  <c r="K41" i="1"/>
  <c r="K42" i="1"/>
  <c r="K43" i="1"/>
  <c r="K25" i="1"/>
  <c r="K26" i="1"/>
  <c r="K27" i="1"/>
  <c r="K28" i="1"/>
  <c r="K11" i="1"/>
  <c r="K10" i="1"/>
  <c r="G28" i="1" l="1"/>
  <c r="H28" i="1" s="1"/>
  <c r="F30" i="1" s="1"/>
  <c r="L30" i="1" s="1"/>
  <c r="G41" i="1"/>
  <c r="H41" i="1" s="1"/>
  <c r="F44" i="1" s="1"/>
  <c r="L44" i="1" s="1"/>
  <c r="G42" i="1"/>
  <c r="H42" i="1" s="1"/>
  <c r="E45" i="1" s="1"/>
  <c r="K45" i="1" s="1"/>
  <c r="G26" i="1"/>
  <c r="H26" i="1" s="1"/>
  <c r="F29" i="1" s="1"/>
  <c r="L29" i="1" s="1"/>
  <c r="G43" i="1"/>
  <c r="H43" i="1" s="1"/>
  <c r="F45" i="1" s="1"/>
  <c r="L45" i="1" s="1"/>
  <c r="G40" i="1"/>
  <c r="H40" i="1" s="1"/>
  <c r="E44" i="1" s="1"/>
  <c r="K44" i="1" s="1"/>
  <c r="G55" i="1"/>
  <c r="H55" i="1" s="1"/>
  <c r="E59" i="1" s="1"/>
  <c r="K59" i="1" s="1"/>
  <c r="G25" i="1"/>
  <c r="H25" i="1" s="1"/>
  <c r="E29" i="1" s="1"/>
  <c r="K29" i="1" s="1"/>
  <c r="G56" i="1"/>
  <c r="H56" i="1" s="1"/>
  <c r="F59" i="1" s="1"/>
  <c r="L59" i="1" s="1"/>
  <c r="G27" i="1"/>
  <c r="H27" i="1" s="1"/>
  <c r="E30" i="1" s="1"/>
  <c r="K30" i="1" s="1"/>
  <c r="G57" i="1"/>
  <c r="H57" i="1" s="1"/>
  <c r="E60" i="1" s="1"/>
  <c r="K60" i="1" s="1"/>
  <c r="G11" i="1"/>
  <c r="H11" i="1" s="1"/>
  <c r="F14" i="1" s="1"/>
  <c r="L14" i="1" s="1"/>
  <c r="G58" i="1"/>
  <c r="H58" i="1" s="1"/>
  <c r="F60" i="1" s="1"/>
  <c r="L60" i="1" s="1"/>
  <c r="G10" i="1"/>
  <c r="H10" i="1" s="1"/>
  <c r="E14" i="1" s="1"/>
  <c r="K14" i="1" s="1"/>
  <c r="H13" i="1"/>
  <c r="F15" i="1" s="1"/>
  <c r="L15" i="1" s="1"/>
  <c r="H12" i="1"/>
  <c r="E15" i="1" s="1"/>
  <c r="G29" i="1" l="1"/>
  <c r="H29" i="1" s="1"/>
  <c r="E31" i="1" s="1"/>
  <c r="K31" i="1" s="1"/>
  <c r="G59" i="1"/>
  <c r="H59" i="1" s="1"/>
  <c r="E61" i="1" s="1"/>
  <c r="G44" i="1"/>
  <c r="H44" i="1" s="1"/>
  <c r="E46" i="1" s="1"/>
  <c r="G14" i="1"/>
  <c r="H14" i="1" s="1"/>
  <c r="E16" i="1" s="1"/>
  <c r="K16" i="1" s="1"/>
  <c r="G45" i="1"/>
  <c r="H45" i="1" s="1"/>
  <c r="F46" i="1" s="1"/>
  <c r="L46" i="1" s="1"/>
  <c r="G60" i="1"/>
  <c r="H60" i="1" s="1"/>
  <c r="F61" i="1" s="1"/>
  <c r="L61" i="1" s="1"/>
  <c r="G30" i="1"/>
  <c r="H30" i="1" s="1"/>
  <c r="F31" i="1" s="1"/>
  <c r="L31" i="1" s="1"/>
  <c r="K61" i="1"/>
  <c r="K46" i="1"/>
  <c r="K15" i="1"/>
  <c r="G31" i="1" l="1"/>
  <c r="H31" i="1" s="1"/>
  <c r="E63" i="1" s="1"/>
  <c r="K63" i="1" s="1"/>
  <c r="G61" i="1"/>
  <c r="H61" i="1" s="1"/>
  <c r="F63" i="1" s="1"/>
  <c r="L63" i="1" s="1"/>
  <c r="G46" i="1"/>
  <c r="H46" i="1" s="1"/>
  <c r="F62" i="1" s="1"/>
  <c r="L62" i="1" s="1"/>
  <c r="G15" i="1"/>
  <c r="H15" i="1" s="1"/>
  <c r="F16" i="1" s="1"/>
  <c r="L16" i="1" s="1"/>
  <c r="G16" i="1" s="1"/>
  <c r="H16" i="1" s="1"/>
  <c r="E62" i="1" s="1"/>
  <c r="G63" i="1" l="1"/>
  <c r="H63" i="1" s="1"/>
  <c r="F64" i="1" s="1"/>
  <c r="L64" i="1" s="1"/>
  <c r="K62" i="1"/>
  <c r="G62" i="1" l="1"/>
  <c r="H62" i="1" s="1"/>
  <c r="E64" i="1" s="1"/>
  <c r="K64" i="1" s="1"/>
  <c r="G64" i="1" l="1"/>
  <c r="H64" i="1" s="1"/>
</calcChain>
</file>

<file path=xl/sharedStrings.xml><?xml version="1.0" encoding="utf-8"?>
<sst xmlns="http://schemas.openxmlformats.org/spreadsheetml/2006/main" count="616" uniqueCount="226">
  <si>
    <t>Game ID</t>
  </si>
  <si>
    <t>Round</t>
  </si>
  <si>
    <t>Day</t>
  </si>
  <si>
    <t>Team A</t>
  </si>
  <si>
    <t>Team B</t>
  </si>
  <si>
    <t>Round of 64</t>
  </si>
  <si>
    <t>Gonzaga</t>
  </si>
  <si>
    <t>Region</t>
  </si>
  <si>
    <t>Odds A</t>
  </si>
  <si>
    <t>Winner Formula</t>
  </si>
  <si>
    <t>Next Game/Slot</t>
  </si>
  <si>
    <t>Midwest</t>
  </si>
  <si>
    <t>Alabama St.</t>
  </si>
  <si>
    <t>M1</t>
  </si>
  <si>
    <t>Auburn</t>
  </si>
  <si>
    <t>Advances to game M9</t>
  </si>
  <si>
    <t>M2</t>
  </si>
  <si>
    <t>Louisville</t>
  </si>
  <si>
    <t>Creighton</t>
  </si>
  <si>
    <t>M3</t>
  </si>
  <si>
    <t>Michigan</t>
  </si>
  <si>
    <t>UC San Diego</t>
  </si>
  <si>
    <t>Advances to game M10</t>
  </si>
  <si>
    <t>M4</t>
  </si>
  <si>
    <t>Texas A&amp;M</t>
  </si>
  <si>
    <t>Yale</t>
  </si>
  <si>
    <t>M5</t>
  </si>
  <si>
    <t>North Carolina</t>
  </si>
  <si>
    <t>Advances to game M11</t>
  </si>
  <si>
    <t>M6</t>
  </si>
  <si>
    <t>Iowa St.</t>
  </si>
  <si>
    <t>Lipscomb</t>
  </si>
  <si>
    <t>M7</t>
  </si>
  <si>
    <t>Marquette</t>
  </si>
  <si>
    <t>New Mexico</t>
  </si>
  <si>
    <t>Advances to game M12</t>
  </si>
  <si>
    <t>M8</t>
  </si>
  <si>
    <t>Michigan St.</t>
  </si>
  <si>
    <t>Bryant</t>
  </si>
  <si>
    <t>M9</t>
  </si>
  <si>
    <t>Round of 32</t>
  </si>
  <si>
    <t>Advances to game M13</t>
  </si>
  <si>
    <t>M10</t>
  </si>
  <si>
    <t>M11</t>
  </si>
  <si>
    <t>Advances to game M14</t>
  </si>
  <si>
    <t>M12</t>
  </si>
  <si>
    <t>M13</t>
  </si>
  <si>
    <t>Sweet 16</t>
  </si>
  <si>
    <t>Advances to game M15</t>
  </si>
  <si>
    <t>M14</t>
  </si>
  <si>
    <t>M15</t>
  </si>
  <si>
    <t>Elite Eight</t>
  </si>
  <si>
    <t>Midwest Champion (Final Four Slot)</t>
  </si>
  <si>
    <t>S1</t>
  </si>
  <si>
    <t>South</t>
  </si>
  <si>
    <t>Duke</t>
  </si>
  <si>
    <t>Advances to game S9</t>
  </si>
  <si>
    <t>S2</t>
  </si>
  <si>
    <t>Mississippi St.</t>
  </si>
  <si>
    <t>Baylor</t>
  </si>
  <si>
    <t>S3</t>
  </si>
  <si>
    <t>Oregon</t>
  </si>
  <si>
    <t>Liberty</t>
  </si>
  <si>
    <t>Advances to game S10</t>
  </si>
  <si>
    <t>S4</t>
  </si>
  <si>
    <t>Arizona</t>
  </si>
  <si>
    <t>Akron</t>
  </si>
  <si>
    <t>S5</t>
  </si>
  <si>
    <t>BYU</t>
  </si>
  <si>
    <t>VCU</t>
  </si>
  <si>
    <t>Advances to game S11</t>
  </si>
  <si>
    <t>S6</t>
  </si>
  <si>
    <t>Wisconsin</t>
  </si>
  <si>
    <t>Montana</t>
  </si>
  <si>
    <t>S7</t>
  </si>
  <si>
    <t>Vanderbilt</t>
  </si>
  <si>
    <t>Advances to game S12</t>
  </si>
  <si>
    <t>S8</t>
  </si>
  <si>
    <t>Alabama</t>
  </si>
  <si>
    <t>Robert Morris</t>
  </si>
  <si>
    <t>S9</t>
  </si>
  <si>
    <t>Advances to game S13</t>
  </si>
  <si>
    <t>S10</t>
  </si>
  <si>
    <t>S11</t>
  </si>
  <si>
    <t>Advances to game S14</t>
  </si>
  <si>
    <t>S12</t>
  </si>
  <si>
    <t>S13</t>
  </si>
  <si>
    <t>Advances to game S15</t>
  </si>
  <si>
    <t>S14</t>
  </si>
  <si>
    <t>S15</t>
  </si>
  <si>
    <t>South Champion (Final Four Slot)</t>
  </si>
  <si>
    <t>E1</t>
  </si>
  <si>
    <t>East</t>
  </si>
  <si>
    <t>Florida</t>
  </si>
  <si>
    <t>Norfolk St.</t>
  </si>
  <si>
    <t>Advances to game E9</t>
  </si>
  <si>
    <t>E2</t>
  </si>
  <si>
    <t>Oklahoma</t>
  </si>
  <si>
    <t>E3</t>
  </si>
  <si>
    <t>Memphis</t>
  </si>
  <si>
    <t>Colorado St.</t>
  </si>
  <si>
    <t>Advances to game E10</t>
  </si>
  <si>
    <t>E4</t>
  </si>
  <si>
    <t>Maryland</t>
  </si>
  <si>
    <t>Grand Canyon</t>
  </si>
  <si>
    <t>E5</t>
  </si>
  <si>
    <t>Missouri</t>
  </si>
  <si>
    <t>Drake</t>
  </si>
  <si>
    <t>Advances to game E11</t>
  </si>
  <si>
    <t>E6</t>
  </si>
  <si>
    <t>Texas Tech</t>
  </si>
  <si>
    <t>UNC Wilmington</t>
  </si>
  <si>
    <t>E7</t>
  </si>
  <si>
    <t>Kansas</t>
  </si>
  <si>
    <t>Arkansas</t>
  </si>
  <si>
    <t>Advances to game E12</t>
  </si>
  <si>
    <t>E8</t>
  </si>
  <si>
    <t>E9</t>
  </si>
  <si>
    <t>Advances to game E13</t>
  </si>
  <si>
    <t>E10</t>
  </si>
  <si>
    <t>E11</t>
  </si>
  <si>
    <t>Advances to game E14</t>
  </si>
  <si>
    <t>E12</t>
  </si>
  <si>
    <t>E13</t>
  </si>
  <si>
    <t>Advances to game E15</t>
  </si>
  <si>
    <t>E14</t>
  </si>
  <si>
    <t>E15</t>
  </si>
  <si>
    <t>East Champion (Final Four Slot)</t>
  </si>
  <si>
    <t>W1</t>
  </si>
  <si>
    <t>West</t>
  </si>
  <si>
    <t>Houston</t>
  </si>
  <si>
    <t>SIU Edwardsville</t>
  </si>
  <si>
    <t>Advances to game W9</t>
  </si>
  <si>
    <t>W2</t>
  </si>
  <si>
    <t>Georgia</t>
  </si>
  <si>
    <t>W3</t>
  </si>
  <si>
    <t>Clemson</t>
  </si>
  <si>
    <t>Advances to game W10</t>
  </si>
  <si>
    <t>W4</t>
  </si>
  <si>
    <t>Purdue</t>
  </si>
  <si>
    <t>High Point</t>
  </si>
  <si>
    <t>W5</t>
  </si>
  <si>
    <t>Illinois</t>
  </si>
  <si>
    <t>Xavier</t>
  </si>
  <si>
    <t>Advances to game W11</t>
  </si>
  <si>
    <t>W6</t>
  </si>
  <si>
    <t>Kentucky</t>
  </si>
  <si>
    <t>Troy</t>
  </si>
  <si>
    <t>W7</t>
  </si>
  <si>
    <t>UCLA</t>
  </si>
  <si>
    <t>Utah St.</t>
  </si>
  <si>
    <t>Advances to game W12</t>
  </si>
  <si>
    <t>W8</t>
  </si>
  <si>
    <t>Tennessee</t>
  </si>
  <si>
    <t>Wofford</t>
  </si>
  <si>
    <t>W9</t>
  </si>
  <si>
    <t>Advances to game W13</t>
  </si>
  <si>
    <t>W10</t>
  </si>
  <si>
    <t>W11</t>
  </si>
  <si>
    <t>Advances to game W14</t>
  </si>
  <si>
    <t>W12</t>
  </si>
  <si>
    <t>W13</t>
  </si>
  <si>
    <t>Advances to game W15</t>
  </si>
  <si>
    <t>W14</t>
  </si>
  <si>
    <t>W15</t>
  </si>
  <si>
    <t>West Champion (Final Four Slot)</t>
  </si>
  <si>
    <t>F1</t>
  </si>
  <si>
    <t>Final Four</t>
  </si>
  <si>
    <t>Advances to F3</t>
  </si>
  <si>
    <t>F2</t>
  </si>
  <si>
    <t>F3</t>
  </si>
  <si>
    <t>National</t>
  </si>
  <si>
    <t>Championship</t>
  </si>
  <si>
    <t>National Champion</t>
  </si>
  <si>
    <t>Seed</t>
  </si>
  <si>
    <t>Team</t>
  </si>
  <si>
    <t>Conf</t>
  </si>
  <si>
    <t>R64</t>
  </si>
  <si>
    <t>R32</t>
  </si>
  <si>
    <t>S16</t>
  </si>
  <si>
    <t>F4</t>
  </si>
  <si>
    <t>Champ</t>
  </si>
  <si>
    <t>B12</t>
  </si>
  <si>
    <t>ACC</t>
  </si>
  <si>
    <t>SEC</t>
  </si>
  <si>
    <t>B10</t>
  </si>
  <si>
    <t>St. John's</t>
  </si>
  <si>
    <t>BE</t>
  </si>
  <si>
    <t>WCC</t>
  </si>
  <si>
    <t>Saint Mary's</t>
  </si>
  <si>
    <t>Mississippi</t>
  </si>
  <si>
    <t>Connecticut</t>
  </si>
  <si>
    <t>MWC</t>
  </si>
  <si>
    <t>MVC</t>
  </si>
  <si>
    <t>McNeese St.</t>
  </si>
  <si>
    <t>Slnd</t>
  </si>
  <si>
    <t>MAC</t>
  </si>
  <si>
    <t>SWAC</t>
  </si>
  <si>
    <t>AE</t>
  </si>
  <si>
    <t>WAC</t>
  </si>
  <si>
    <t>BSth</t>
  </si>
  <si>
    <t>CUSA</t>
  </si>
  <si>
    <t>ASun</t>
  </si>
  <si>
    <t>Amer</t>
  </si>
  <si>
    <t>BSky</t>
  </si>
  <si>
    <t>Mount St. Mary's</t>
  </si>
  <si>
    <t>MAAC</t>
  </si>
  <si>
    <t>Nebraska Omaha</t>
  </si>
  <si>
    <t>Sum</t>
  </si>
  <si>
    <t>MEAC</t>
  </si>
  <si>
    <t>Horz</t>
  </si>
  <si>
    <t>OVC</t>
  </si>
  <si>
    <t>SB</t>
  </si>
  <si>
    <t>BW</t>
  </si>
  <si>
    <t>CAA</t>
  </si>
  <si>
    <t>A10</t>
  </si>
  <si>
    <t>SC</t>
  </si>
  <si>
    <t>Ivy</t>
  </si>
  <si>
    <t>American</t>
  </si>
  <si>
    <t>Pat</t>
  </si>
  <si>
    <t>Saint Francis</t>
  </si>
  <si>
    <t>NEC</t>
  </si>
  <si>
    <t>San Diego St.</t>
  </si>
  <si>
    <t>Texas</t>
  </si>
  <si>
    <t>A Odds</t>
  </si>
  <si>
    <t>B Odds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</si>
</sst>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6"/>
      <color rgb="FFFFFFFF"/>
      <name val="Arial"/>
      <family val="2"/>
    </font>
    <font>
      <sz val="5"/>
      <color rgb="FF000000"/>
      <name val="Arial"/>
      <family val="2"/>
    </font>
    <font>
      <sz val="7"/>
      <color rgb="FF000000"/>
      <name val="Arial"/>
      <family val="2"/>
    </font>
    <font>
      <sz val="5"/>
      <color rgb="FF2100B7"/>
      <name val="Arial"/>
      <family val="2"/>
    </font>
    <font>
      <sz val="7"/>
      <color rgb="FF2100B7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A5D9B4"/>
        <bgColor indexed="64"/>
      </patternFill>
    </fill>
    <fill>
      <patternFill patternType="solid">
        <fgColor rgb="FFBBE2C7"/>
        <bgColor indexed="64"/>
      </patternFill>
    </fill>
    <fill>
      <patternFill patternType="solid">
        <fgColor rgb="FFC5E6D0"/>
        <bgColor indexed="64"/>
      </patternFill>
    </fill>
    <fill>
      <patternFill patternType="solid">
        <fgColor rgb="FFD1EBDA"/>
        <bgColor indexed="64"/>
      </patternFill>
    </fill>
    <fill>
      <patternFill patternType="solid">
        <fgColor rgb="FFE1F1E7"/>
        <bgColor indexed="64"/>
      </patternFill>
    </fill>
    <fill>
      <patternFill patternType="solid">
        <fgColor rgb="FFE8F4EE"/>
        <bgColor indexed="64"/>
      </patternFill>
    </fill>
    <fill>
      <patternFill patternType="solid">
        <fgColor rgb="FFB3DFC0"/>
        <bgColor indexed="64"/>
      </patternFill>
    </fill>
    <fill>
      <patternFill patternType="solid">
        <fgColor rgb="FFC5E6CF"/>
        <bgColor indexed="64"/>
      </patternFill>
    </fill>
    <fill>
      <patternFill patternType="solid">
        <fgColor rgb="FFD3ECDC"/>
        <bgColor indexed="64"/>
      </patternFill>
    </fill>
    <fill>
      <patternFill patternType="solid">
        <fgColor rgb="FFE4F3EA"/>
        <bgColor indexed="64"/>
      </patternFill>
    </fill>
    <fill>
      <patternFill patternType="solid">
        <fgColor rgb="FFECF6F1"/>
        <bgColor indexed="64"/>
      </patternFill>
    </fill>
    <fill>
      <patternFill patternType="solid">
        <fgColor rgb="FFB6E0C2"/>
        <bgColor indexed="64"/>
      </patternFill>
    </fill>
    <fill>
      <patternFill patternType="solid">
        <fgColor rgb="FFC6E7D1"/>
        <bgColor indexed="64"/>
      </patternFill>
    </fill>
    <fill>
      <patternFill patternType="solid">
        <fgColor rgb="FFD7EDDF"/>
        <bgColor indexed="64"/>
      </patternFill>
    </fill>
    <fill>
      <patternFill patternType="solid">
        <fgColor rgb="FFE5F3EB"/>
        <bgColor indexed="64"/>
      </patternFill>
    </fill>
    <fill>
      <patternFill patternType="solid">
        <fgColor rgb="FFF0F8F5"/>
        <bgColor indexed="64"/>
      </patternFill>
    </fill>
    <fill>
      <patternFill patternType="solid">
        <fgColor rgb="FFB7E0C3"/>
        <bgColor indexed="64"/>
      </patternFill>
    </fill>
    <fill>
      <patternFill patternType="solid">
        <fgColor rgb="FFCDE9D7"/>
        <bgColor indexed="64"/>
      </patternFill>
    </fill>
    <fill>
      <patternFill patternType="solid">
        <fgColor rgb="FFDDF0E4"/>
        <bgColor indexed="64"/>
      </patternFill>
    </fill>
    <fill>
      <patternFill patternType="solid">
        <fgColor rgb="FFEAF5F0"/>
        <bgColor indexed="64"/>
      </patternFill>
    </fill>
    <fill>
      <patternFill patternType="solid">
        <fgColor rgb="FFF4F9F8"/>
        <bgColor indexed="64"/>
      </patternFill>
    </fill>
    <fill>
      <patternFill patternType="solid">
        <fgColor rgb="FFB7E1C4"/>
        <bgColor indexed="64"/>
      </patternFill>
    </fill>
    <fill>
      <patternFill patternType="solid">
        <fgColor rgb="FFF3F9F7"/>
        <bgColor indexed="64"/>
      </patternFill>
    </fill>
    <fill>
      <patternFill patternType="solid">
        <fgColor rgb="FFF9FBFC"/>
        <bgColor indexed="64"/>
      </patternFill>
    </fill>
    <fill>
      <patternFill patternType="solid">
        <fgColor rgb="FFC2E5CD"/>
        <bgColor indexed="64"/>
      </patternFill>
    </fill>
    <fill>
      <patternFill patternType="solid">
        <fgColor rgb="FFDAEFE2"/>
        <bgColor indexed="64"/>
      </patternFill>
    </fill>
    <fill>
      <patternFill patternType="solid">
        <fgColor rgb="FFEFF7F3"/>
        <bgColor indexed="64"/>
      </patternFill>
    </fill>
    <fill>
      <patternFill patternType="solid">
        <fgColor rgb="FFF6FAF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C1E4CC"/>
        <bgColor indexed="64"/>
      </patternFill>
    </fill>
    <fill>
      <patternFill patternType="solid">
        <fgColor rgb="FFD9EEE1"/>
        <bgColor indexed="64"/>
      </patternFill>
    </fill>
    <fill>
      <patternFill patternType="solid">
        <fgColor rgb="FFEDF6F2"/>
        <bgColor indexed="64"/>
      </patternFill>
    </fill>
    <fill>
      <patternFill patternType="solid">
        <fgColor rgb="FFF5F9F9"/>
        <bgColor indexed="64"/>
      </patternFill>
    </fill>
    <fill>
      <patternFill patternType="solid">
        <fgColor rgb="FFE0F1E7"/>
        <bgColor indexed="64"/>
      </patternFill>
    </fill>
    <fill>
      <patternFill patternType="solid">
        <fgColor rgb="FFC8E7D2"/>
        <bgColor indexed="64"/>
      </patternFill>
    </fill>
    <fill>
      <patternFill patternType="solid">
        <fgColor rgb="FFDCEFE4"/>
        <bgColor indexed="64"/>
      </patternFill>
    </fill>
    <fill>
      <patternFill patternType="solid">
        <fgColor rgb="FFF7FAFB"/>
        <bgColor indexed="64"/>
      </patternFill>
    </fill>
    <fill>
      <patternFill patternType="solid">
        <fgColor rgb="FFFBFCFE"/>
        <bgColor indexed="64"/>
      </patternFill>
    </fill>
    <fill>
      <patternFill patternType="solid">
        <fgColor rgb="FFBEE3C9"/>
        <bgColor indexed="64"/>
      </patternFill>
    </fill>
    <fill>
      <patternFill patternType="solid">
        <fgColor rgb="FFEFF7F4"/>
        <bgColor indexed="64"/>
      </patternFill>
    </fill>
    <fill>
      <patternFill patternType="solid">
        <fgColor rgb="FFBFE4CB"/>
        <bgColor indexed="64"/>
      </patternFill>
    </fill>
    <fill>
      <patternFill patternType="solid">
        <fgColor rgb="FFDFF0E6"/>
        <bgColor indexed="64"/>
      </patternFill>
    </fill>
    <fill>
      <patternFill patternType="solid">
        <fgColor rgb="FFF1F8F6"/>
        <bgColor indexed="64"/>
      </patternFill>
    </fill>
    <fill>
      <patternFill patternType="solid">
        <fgColor rgb="FFF8FBFC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E8F4ED"/>
        <bgColor indexed="64"/>
      </patternFill>
    </fill>
    <fill>
      <patternFill patternType="solid">
        <fgColor rgb="FFF6FAF9"/>
        <bgColor indexed="64"/>
      </patternFill>
    </fill>
    <fill>
      <patternFill patternType="solid">
        <fgColor rgb="FFD0EAD9"/>
        <bgColor indexed="64"/>
      </patternFill>
    </fill>
    <fill>
      <patternFill patternType="solid">
        <fgColor rgb="FFD3EBDB"/>
        <bgColor indexed="64"/>
      </patternFill>
    </fill>
    <fill>
      <patternFill patternType="solid">
        <fgColor rgb="FFE9F5EF"/>
        <bgColor indexed="64"/>
      </patternFill>
    </fill>
    <fill>
      <patternFill patternType="solid">
        <fgColor rgb="FFF9FBFF"/>
        <bgColor indexed="64"/>
      </patternFill>
    </fill>
    <fill>
      <patternFill patternType="solid">
        <fgColor rgb="FFCEEAD8"/>
        <bgColor indexed="64"/>
      </patternFill>
    </fill>
    <fill>
      <patternFill patternType="solid">
        <fgColor rgb="FFEBF5F0"/>
        <bgColor indexed="64"/>
      </patternFill>
    </fill>
    <fill>
      <patternFill patternType="solid">
        <fgColor rgb="FFD2EBDB"/>
        <bgColor indexed="64"/>
      </patternFill>
    </fill>
    <fill>
      <patternFill patternType="solid">
        <fgColor rgb="FFD4ECDD"/>
        <bgColor indexed="64"/>
      </patternFill>
    </fill>
    <fill>
      <patternFill patternType="solid">
        <fgColor rgb="FFE1F2E8"/>
        <bgColor indexed="64"/>
      </patternFill>
    </fill>
    <fill>
      <patternFill patternType="solid">
        <fgColor rgb="FFE3F2EA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8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0" fontId="3" fillId="6" borderId="1" xfId="2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1" xfId="2" applyBorder="1" applyAlignment="1">
      <alignment horizontal="left" vertical="center"/>
    </xf>
    <xf numFmtId="0" fontId="3" fillId="0" borderId="1" xfId="2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0" fontId="6" fillId="23" borderId="1" xfId="0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0" fontId="6" fillId="30" borderId="1" xfId="0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0" fontId="6" fillId="33" borderId="1" xfId="0" applyFont="1" applyFill="1" applyBorder="1" applyAlignment="1">
      <alignment horizontal="center" vertical="center"/>
    </xf>
    <xf numFmtId="0" fontId="6" fillId="34" borderId="1" xfId="0" applyFont="1" applyFill="1" applyBorder="1" applyAlignment="1">
      <alignment horizontal="center" vertical="center"/>
    </xf>
    <xf numFmtId="0" fontId="6" fillId="35" borderId="1" xfId="0" applyFont="1" applyFill="1" applyBorder="1" applyAlignment="1">
      <alignment horizontal="center" vertical="center"/>
    </xf>
    <xf numFmtId="0" fontId="6" fillId="36" borderId="1" xfId="0" applyFont="1" applyFill="1" applyBorder="1" applyAlignment="1">
      <alignment horizontal="center" vertical="center"/>
    </xf>
    <xf numFmtId="0" fontId="6" fillId="37" borderId="1" xfId="0" applyFont="1" applyFill="1" applyBorder="1" applyAlignment="1">
      <alignment horizontal="center" vertical="center"/>
    </xf>
    <xf numFmtId="0" fontId="6" fillId="38" borderId="1" xfId="0" applyFont="1" applyFill="1" applyBorder="1" applyAlignment="1">
      <alignment horizontal="center" vertical="center"/>
    </xf>
    <xf numFmtId="0" fontId="6" fillId="39" borderId="1" xfId="0" applyFont="1" applyFill="1" applyBorder="1" applyAlignment="1">
      <alignment horizontal="center" vertical="center"/>
    </xf>
    <xf numFmtId="0" fontId="6" fillId="40" borderId="1" xfId="0" applyFont="1" applyFill="1" applyBorder="1" applyAlignment="1">
      <alignment horizontal="center" vertical="center"/>
    </xf>
    <xf numFmtId="0" fontId="6" fillId="41" borderId="1" xfId="0" applyFont="1" applyFill="1" applyBorder="1" applyAlignment="1">
      <alignment horizontal="center" vertical="center"/>
    </xf>
    <xf numFmtId="0" fontId="6" fillId="42" borderId="1" xfId="0" applyFont="1" applyFill="1" applyBorder="1" applyAlignment="1">
      <alignment horizontal="center" vertical="center"/>
    </xf>
    <xf numFmtId="0" fontId="6" fillId="43" borderId="1" xfId="0" applyFont="1" applyFill="1" applyBorder="1" applyAlignment="1">
      <alignment horizontal="center" vertical="center"/>
    </xf>
    <xf numFmtId="0" fontId="6" fillId="44" borderId="1" xfId="0" applyFont="1" applyFill="1" applyBorder="1" applyAlignment="1">
      <alignment horizontal="center" vertical="center"/>
    </xf>
    <xf numFmtId="0" fontId="6" fillId="45" borderId="1" xfId="0" applyFont="1" applyFill="1" applyBorder="1" applyAlignment="1">
      <alignment horizontal="center" vertical="center"/>
    </xf>
    <xf numFmtId="0" fontId="6" fillId="46" borderId="1" xfId="0" applyFont="1" applyFill="1" applyBorder="1" applyAlignment="1">
      <alignment horizontal="center" vertical="center"/>
    </xf>
    <xf numFmtId="0" fontId="6" fillId="47" borderId="1" xfId="0" applyFont="1" applyFill="1" applyBorder="1" applyAlignment="1">
      <alignment horizontal="center" vertical="center"/>
    </xf>
    <xf numFmtId="0" fontId="6" fillId="48" borderId="1" xfId="0" applyFont="1" applyFill="1" applyBorder="1" applyAlignment="1">
      <alignment horizontal="center" vertical="center"/>
    </xf>
    <xf numFmtId="0" fontId="6" fillId="49" borderId="1" xfId="0" applyFont="1" applyFill="1" applyBorder="1" applyAlignment="1">
      <alignment horizontal="center" vertical="center"/>
    </xf>
    <xf numFmtId="0" fontId="6" fillId="50" borderId="1" xfId="0" applyFont="1" applyFill="1" applyBorder="1" applyAlignment="1">
      <alignment horizontal="center" vertical="center"/>
    </xf>
    <xf numFmtId="0" fontId="6" fillId="51" borderId="1" xfId="0" applyFont="1" applyFill="1" applyBorder="1" applyAlignment="1">
      <alignment horizontal="center" vertical="center"/>
    </xf>
    <xf numFmtId="0" fontId="6" fillId="52" borderId="1" xfId="0" applyFont="1" applyFill="1" applyBorder="1" applyAlignment="1">
      <alignment horizontal="center" vertical="center"/>
    </xf>
    <xf numFmtId="0" fontId="6" fillId="53" borderId="1" xfId="0" applyFont="1" applyFill="1" applyBorder="1" applyAlignment="1">
      <alignment horizontal="center" vertical="center"/>
    </xf>
    <xf numFmtId="0" fontId="6" fillId="54" borderId="1" xfId="0" applyFont="1" applyFill="1" applyBorder="1" applyAlignment="1">
      <alignment horizontal="center" vertical="center"/>
    </xf>
    <xf numFmtId="0" fontId="6" fillId="55" borderId="1" xfId="0" applyFont="1" applyFill="1" applyBorder="1" applyAlignment="1">
      <alignment horizontal="center" vertical="center"/>
    </xf>
    <xf numFmtId="0" fontId="6" fillId="56" borderId="1" xfId="0" applyFont="1" applyFill="1" applyBorder="1" applyAlignment="1">
      <alignment horizontal="center" vertical="center"/>
    </xf>
    <xf numFmtId="0" fontId="6" fillId="57" borderId="1" xfId="0" applyFont="1" applyFill="1" applyBorder="1" applyAlignment="1">
      <alignment horizontal="center" vertical="center"/>
    </xf>
    <xf numFmtId="0" fontId="6" fillId="58" borderId="1" xfId="0" applyFont="1" applyFill="1" applyBorder="1" applyAlignment="1">
      <alignment horizontal="center" vertical="center"/>
    </xf>
    <xf numFmtId="0" fontId="6" fillId="59" borderId="1" xfId="0" applyFont="1" applyFill="1" applyBorder="1" applyAlignment="1">
      <alignment horizontal="center" vertical="center"/>
    </xf>
    <xf numFmtId="0" fontId="6" fillId="60" borderId="1" xfId="0" applyFont="1" applyFill="1" applyBorder="1" applyAlignment="1">
      <alignment horizontal="center" vertical="center"/>
    </xf>
    <xf numFmtId="0" fontId="6" fillId="61" borderId="1" xfId="0" applyFont="1" applyFill="1" applyBorder="1" applyAlignment="1">
      <alignment horizontal="center" vertical="center"/>
    </xf>
    <xf numFmtId="0" fontId="6" fillId="62" borderId="1" xfId="0" applyFont="1" applyFill="1" applyBorder="1" applyAlignment="1">
      <alignment horizontal="center" vertical="center"/>
    </xf>
    <xf numFmtId="0" fontId="6" fillId="6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57" borderId="1" xfId="0" applyFont="1" applyFill="1" applyBorder="1" applyAlignment="1">
      <alignment horizontal="center" vertical="center"/>
    </xf>
    <xf numFmtId="2" fontId="0" fillId="5" borderId="0" xfId="0" applyNumberFormat="1" applyFill="1" applyAlignment="1">
      <alignment vertical="center" wrapText="1"/>
    </xf>
    <xf numFmtId="2" fontId="0" fillId="0" borderId="0" xfId="0" applyNumberFormat="1" applyAlignment="1">
      <alignment vertical="center" wrapText="1"/>
    </xf>
    <xf numFmtId="2" fontId="0" fillId="2" borderId="0" xfId="0" applyNumberFormat="1" applyFill="1" applyAlignment="1">
      <alignment vertical="center" wrapText="1"/>
    </xf>
    <xf numFmtId="2" fontId="0" fillId="3" borderId="0" xfId="0" applyNumberFormat="1" applyFill="1" applyAlignment="1">
      <alignment vertical="center" wrapText="1"/>
    </xf>
    <xf numFmtId="2" fontId="0" fillId="4" borderId="0" xfId="0" applyNumberFormat="1" applyFill="1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14" fontId="0" fillId="0" borderId="0" xfId="0" applyNumberFormat="1"/>
    <xf numFmtId="1" fontId="0" fillId="0" borderId="0" xfId="0" applyNumberFormat="1" applyAlignment="1">
      <alignment vertical="center" wrapText="1"/>
    </xf>
    <xf numFmtId="1" fontId="0" fillId="0" borderId="0" xfId="1" applyNumberFormat="1" applyFont="1" applyAlignment="1">
      <alignment vertical="center" wrapText="1"/>
    </xf>
    <xf numFmtId="1" fontId="0" fillId="2" borderId="0" xfId="1" applyNumberFormat="1" applyFont="1" applyFill="1" applyAlignment="1">
      <alignment vertical="center" wrapText="1"/>
    </xf>
    <xf numFmtId="1" fontId="0" fillId="3" borderId="0" xfId="1" applyNumberFormat="1" applyFont="1" applyFill="1" applyAlignment="1">
      <alignment vertical="center" wrapText="1"/>
    </xf>
    <xf numFmtId="1" fontId="0" fillId="4" borderId="0" xfId="1" applyNumberFormat="1" applyFont="1" applyFill="1" applyAlignment="1">
      <alignment vertical="center" wrapText="1"/>
    </xf>
    <xf numFmtId="1" fontId="0" fillId="5" borderId="0" xfId="1" applyNumberFormat="1" applyFont="1" applyFill="1" applyAlignment="1">
      <alignment vertical="center" wrapText="1"/>
    </xf>
    <xf numFmtId="2" fontId="0" fillId="0" borderId="0" xfId="0" applyNumberFormat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barttorvik.com/conf.php?conf=OVC" TargetMode="External"/><Relationship Id="rId21" Type="http://schemas.openxmlformats.org/officeDocument/2006/relationships/hyperlink" Target="https://barttorvik.com/conf.php?conf=B12" TargetMode="External"/><Relationship Id="rId42" Type="http://schemas.openxmlformats.org/officeDocument/2006/relationships/hyperlink" Target="https://barttorvik.com/team.php?team=Texas+A%26M" TargetMode="External"/><Relationship Id="rId63" Type="http://schemas.openxmlformats.org/officeDocument/2006/relationships/hyperlink" Target="https://barttorvik.com/conf.php?conf=MWC" TargetMode="External"/><Relationship Id="rId84" Type="http://schemas.openxmlformats.org/officeDocument/2006/relationships/hyperlink" Target="https://barttorvik.com/team.php?team=High+Point" TargetMode="External"/><Relationship Id="rId138" Type="http://schemas.openxmlformats.org/officeDocument/2006/relationships/hyperlink" Target="https://barttorvik.com/team.php?team=Saint+Francis" TargetMode="External"/><Relationship Id="rId107" Type="http://schemas.openxmlformats.org/officeDocument/2006/relationships/hyperlink" Target="https://barttorvik.com/conf.php?conf=Sum" TargetMode="External"/><Relationship Id="rId11" Type="http://schemas.openxmlformats.org/officeDocument/2006/relationships/hyperlink" Target="https://barttorvik.com/conf.php?conf=ACC" TargetMode="External"/><Relationship Id="rId32" Type="http://schemas.openxmlformats.org/officeDocument/2006/relationships/hyperlink" Target="https://barttorvik.com/team.php?team=Gonzaga" TargetMode="External"/><Relationship Id="rId37" Type="http://schemas.openxmlformats.org/officeDocument/2006/relationships/hyperlink" Target="https://barttorvik.com/conf.php?conf=B12" TargetMode="External"/><Relationship Id="rId53" Type="http://schemas.openxmlformats.org/officeDocument/2006/relationships/hyperlink" Target="https://barttorvik.com/conf.php?conf=SEC" TargetMode="External"/><Relationship Id="rId58" Type="http://schemas.openxmlformats.org/officeDocument/2006/relationships/hyperlink" Target="https://barttorvik.com/team.php?team=Baylor" TargetMode="External"/><Relationship Id="rId74" Type="http://schemas.openxmlformats.org/officeDocument/2006/relationships/hyperlink" Target="https://barttorvik.com/team.php?team=Alabama+St." TargetMode="External"/><Relationship Id="rId79" Type="http://schemas.openxmlformats.org/officeDocument/2006/relationships/hyperlink" Target="https://barttorvik.com/conf.php?conf=ACC" TargetMode="External"/><Relationship Id="rId102" Type="http://schemas.openxmlformats.org/officeDocument/2006/relationships/hyperlink" Target="https://barttorvik.com/team.php?team=Montana" TargetMode="External"/><Relationship Id="rId123" Type="http://schemas.openxmlformats.org/officeDocument/2006/relationships/hyperlink" Target="https://barttorvik.com/conf.php?conf=CAA" TargetMode="External"/><Relationship Id="rId128" Type="http://schemas.openxmlformats.org/officeDocument/2006/relationships/hyperlink" Target="https://barttorvik.com/team.php?team=Vanderbilt" TargetMode="External"/><Relationship Id="rId5" Type="http://schemas.openxmlformats.org/officeDocument/2006/relationships/hyperlink" Target="https://barttorvik.com/tourneytime.php?&amp;conlimit=All&amp;sort=5" TargetMode="External"/><Relationship Id="rId90" Type="http://schemas.openxmlformats.org/officeDocument/2006/relationships/hyperlink" Target="https://barttorvik.com/team.php?team=Lipscomb" TargetMode="External"/><Relationship Id="rId95" Type="http://schemas.openxmlformats.org/officeDocument/2006/relationships/hyperlink" Target="https://barttorvik.com/conf.php?conf=BE" TargetMode="External"/><Relationship Id="rId22" Type="http://schemas.openxmlformats.org/officeDocument/2006/relationships/hyperlink" Target="https://barttorvik.com/team.php?team=Maryland" TargetMode="External"/><Relationship Id="rId27" Type="http://schemas.openxmlformats.org/officeDocument/2006/relationships/hyperlink" Target="https://barttorvik.com/conf.php?conf=B10" TargetMode="External"/><Relationship Id="rId43" Type="http://schemas.openxmlformats.org/officeDocument/2006/relationships/hyperlink" Target="https://barttorvik.com/conf.php?conf=SEC" TargetMode="External"/><Relationship Id="rId48" Type="http://schemas.openxmlformats.org/officeDocument/2006/relationships/hyperlink" Target="https://barttorvik.com/team.php?team=Michigan" TargetMode="External"/><Relationship Id="rId64" Type="http://schemas.openxmlformats.org/officeDocument/2006/relationships/hyperlink" Target="https://barttorvik.com/team.php?team=New+Mexico" TargetMode="External"/><Relationship Id="rId69" Type="http://schemas.openxmlformats.org/officeDocument/2006/relationships/hyperlink" Target="https://barttorvik.com/conf.php?conf=MVC" TargetMode="External"/><Relationship Id="rId113" Type="http://schemas.openxmlformats.org/officeDocument/2006/relationships/hyperlink" Target="https://barttorvik.com/conf.php?conf=SEC" TargetMode="External"/><Relationship Id="rId118" Type="http://schemas.openxmlformats.org/officeDocument/2006/relationships/hyperlink" Target="https://barttorvik.com/team.php?team=Troy" TargetMode="External"/><Relationship Id="rId134" Type="http://schemas.openxmlformats.org/officeDocument/2006/relationships/hyperlink" Target="https://barttorvik.com/team.php?team=Yale" TargetMode="External"/><Relationship Id="rId139" Type="http://schemas.openxmlformats.org/officeDocument/2006/relationships/hyperlink" Target="https://barttorvik.com/conf.php?conf=NEC" TargetMode="External"/><Relationship Id="rId80" Type="http://schemas.openxmlformats.org/officeDocument/2006/relationships/hyperlink" Target="https://barttorvik.com/team.php?team=Georgia" TargetMode="External"/><Relationship Id="rId85" Type="http://schemas.openxmlformats.org/officeDocument/2006/relationships/hyperlink" Target="https://barttorvik.com/conf.php?conf=BSth" TargetMode="External"/><Relationship Id="rId12" Type="http://schemas.openxmlformats.org/officeDocument/2006/relationships/hyperlink" Target="https://barttorvik.com/team.php?team=Auburn" TargetMode="External"/><Relationship Id="rId17" Type="http://schemas.openxmlformats.org/officeDocument/2006/relationships/hyperlink" Target="https://barttorvik.com/conf.php?conf=B12" TargetMode="External"/><Relationship Id="rId33" Type="http://schemas.openxmlformats.org/officeDocument/2006/relationships/hyperlink" Target="https://barttorvik.com/conf.php?conf=WCC" TargetMode="External"/><Relationship Id="rId38" Type="http://schemas.openxmlformats.org/officeDocument/2006/relationships/hyperlink" Target="https://barttorvik.com/team.php?team=Purdue" TargetMode="External"/><Relationship Id="rId59" Type="http://schemas.openxmlformats.org/officeDocument/2006/relationships/hyperlink" Target="https://barttorvik.com/conf.php?conf=B12" TargetMode="External"/><Relationship Id="rId103" Type="http://schemas.openxmlformats.org/officeDocument/2006/relationships/hyperlink" Target="https://barttorvik.com/conf.php?conf=BSky" TargetMode="External"/><Relationship Id="rId108" Type="http://schemas.openxmlformats.org/officeDocument/2006/relationships/hyperlink" Target="https://barttorvik.com/team.php?team=Norfolk+St." TargetMode="External"/><Relationship Id="rId124" Type="http://schemas.openxmlformats.org/officeDocument/2006/relationships/hyperlink" Target="https://barttorvik.com/team.php?team=Utah+St." TargetMode="External"/><Relationship Id="rId129" Type="http://schemas.openxmlformats.org/officeDocument/2006/relationships/hyperlink" Target="https://barttorvik.com/conf.php?conf=SEC" TargetMode="External"/><Relationship Id="rId54" Type="http://schemas.openxmlformats.org/officeDocument/2006/relationships/hyperlink" Target="https://barttorvik.com/team.php?team=Creighton" TargetMode="External"/><Relationship Id="rId70" Type="http://schemas.openxmlformats.org/officeDocument/2006/relationships/hyperlink" Target="https://barttorvik.com/team.php?team=McNeese+St." TargetMode="External"/><Relationship Id="rId75" Type="http://schemas.openxmlformats.org/officeDocument/2006/relationships/hyperlink" Target="https://barttorvik.com/conf.php?conf=SWAC" TargetMode="External"/><Relationship Id="rId91" Type="http://schemas.openxmlformats.org/officeDocument/2006/relationships/hyperlink" Target="https://barttorvik.com/conf.php?conf=ASun" TargetMode="External"/><Relationship Id="rId96" Type="http://schemas.openxmlformats.org/officeDocument/2006/relationships/hyperlink" Target="https://barttorvik.com/team.php?team=Memphis" TargetMode="External"/><Relationship Id="rId140" Type="http://schemas.openxmlformats.org/officeDocument/2006/relationships/hyperlink" Target="https://barttorvik.com/team.php?team=San+Diego+St." TargetMode="External"/><Relationship Id="rId1" Type="http://schemas.openxmlformats.org/officeDocument/2006/relationships/hyperlink" Target="https://barttorvik.com/tourneytime.php?&amp;conlimit=All&amp;sort=1" TargetMode="External"/><Relationship Id="rId6" Type="http://schemas.openxmlformats.org/officeDocument/2006/relationships/hyperlink" Target="https://barttorvik.com/tourneytime.php?&amp;conlimit=All&amp;sort=6" TargetMode="External"/><Relationship Id="rId23" Type="http://schemas.openxmlformats.org/officeDocument/2006/relationships/hyperlink" Target="https://barttorvik.com/conf.php?conf=B10" TargetMode="External"/><Relationship Id="rId28" Type="http://schemas.openxmlformats.org/officeDocument/2006/relationships/hyperlink" Target="https://barttorvik.com/team.php?team=Arizona" TargetMode="External"/><Relationship Id="rId49" Type="http://schemas.openxmlformats.org/officeDocument/2006/relationships/hyperlink" Target="https://barttorvik.com/conf.php?conf=B10" TargetMode="External"/><Relationship Id="rId114" Type="http://schemas.openxmlformats.org/officeDocument/2006/relationships/hyperlink" Target="https://barttorvik.com/team.php?team=Robert+Morris" TargetMode="External"/><Relationship Id="rId119" Type="http://schemas.openxmlformats.org/officeDocument/2006/relationships/hyperlink" Target="https://barttorvik.com/conf.php?conf=SB" TargetMode="External"/><Relationship Id="rId44" Type="http://schemas.openxmlformats.org/officeDocument/2006/relationships/hyperlink" Target="https://barttorvik.com/team.php?team=UCLA" TargetMode="External"/><Relationship Id="rId60" Type="http://schemas.openxmlformats.org/officeDocument/2006/relationships/hyperlink" Target="https://barttorvik.com/team.php?team=Arkansas" TargetMode="External"/><Relationship Id="rId65" Type="http://schemas.openxmlformats.org/officeDocument/2006/relationships/hyperlink" Target="https://barttorvik.com/conf.php?conf=MWC" TargetMode="External"/><Relationship Id="rId81" Type="http://schemas.openxmlformats.org/officeDocument/2006/relationships/hyperlink" Target="https://barttorvik.com/conf.php?conf=SEC" TargetMode="External"/><Relationship Id="rId86" Type="http://schemas.openxmlformats.org/officeDocument/2006/relationships/hyperlink" Target="https://barttorvik.com/team.php?team=Kansas" TargetMode="External"/><Relationship Id="rId130" Type="http://schemas.openxmlformats.org/officeDocument/2006/relationships/hyperlink" Target="https://barttorvik.com/team.php?team=Wofford" TargetMode="External"/><Relationship Id="rId135" Type="http://schemas.openxmlformats.org/officeDocument/2006/relationships/hyperlink" Target="https://barttorvik.com/conf.php?conf=Ivy" TargetMode="External"/><Relationship Id="rId13" Type="http://schemas.openxmlformats.org/officeDocument/2006/relationships/hyperlink" Target="https://barttorvik.com/conf.php?conf=SEC" TargetMode="External"/><Relationship Id="rId18" Type="http://schemas.openxmlformats.org/officeDocument/2006/relationships/hyperlink" Target="https://barttorvik.com/team.php?team=Alabama" TargetMode="External"/><Relationship Id="rId39" Type="http://schemas.openxmlformats.org/officeDocument/2006/relationships/hyperlink" Target="https://barttorvik.com/conf.php?conf=B10" TargetMode="External"/><Relationship Id="rId109" Type="http://schemas.openxmlformats.org/officeDocument/2006/relationships/hyperlink" Target="https://barttorvik.com/conf.php?conf=MEAC" TargetMode="External"/><Relationship Id="rId34" Type="http://schemas.openxmlformats.org/officeDocument/2006/relationships/hyperlink" Target="https://barttorvik.com/team.php?team=Wisconsin" TargetMode="External"/><Relationship Id="rId50" Type="http://schemas.openxmlformats.org/officeDocument/2006/relationships/hyperlink" Target="https://barttorvik.com/team.php?team=Saint+Mary%27s" TargetMode="External"/><Relationship Id="rId55" Type="http://schemas.openxmlformats.org/officeDocument/2006/relationships/hyperlink" Target="https://barttorvik.com/conf.php?conf=BE" TargetMode="External"/><Relationship Id="rId76" Type="http://schemas.openxmlformats.org/officeDocument/2006/relationships/hyperlink" Target="https://barttorvik.com/team.php?team=Bryant" TargetMode="External"/><Relationship Id="rId97" Type="http://schemas.openxmlformats.org/officeDocument/2006/relationships/hyperlink" Target="https://barttorvik.com/conf.php?conf=Amer" TargetMode="External"/><Relationship Id="rId104" Type="http://schemas.openxmlformats.org/officeDocument/2006/relationships/hyperlink" Target="https://barttorvik.com/team.php?team=Mount+St.+Mary%27s" TargetMode="External"/><Relationship Id="rId120" Type="http://schemas.openxmlformats.org/officeDocument/2006/relationships/hyperlink" Target="https://barttorvik.com/team.php?team=UC+San+Diego" TargetMode="External"/><Relationship Id="rId125" Type="http://schemas.openxmlformats.org/officeDocument/2006/relationships/hyperlink" Target="https://barttorvik.com/conf.php?conf=MWC" TargetMode="External"/><Relationship Id="rId141" Type="http://schemas.openxmlformats.org/officeDocument/2006/relationships/hyperlink" Target="https://barttorvik.com/conf.php?conf=MWC" TargetMode="External"/><Relationship Id="rId7" Type="http://schemas.openxmlformats.org/officeDocument/2006/relationships/hyperlink" Target="https://barttorvik.com/tourneytime.php?&amp;conlimit=All&amp;sort=7" TargetMode="External"/><Relationship Id="rId71" Type="http://schemas.openxmlformats.org/officeDocument/2006/relationships/hyperlink" Target="https://barttorvik.com/conf.php?conf=Slnd" TargetMode="External"/><Relationship Id="rId92" Type="http://schemas.openxmlformats.org/officeDocument/2006/relationships/hyperlink" Target="https://barttorvik.com/team.php?team=Louisville" TargetMode="External"/><Relationship Id="rId2" Type="http://schemas.openxmlformats.org/officeDocument/2006/relationships/hyperlink" Target="https://barttorvik.com/tourneytime.php?&amp;conlimit=All&amp;sort=2" TargetMode="External"/><Relationship Id="rId29" Type="http://schemas.openxmlformats.org/officeDocument/2006/relationships/hyperlink" Target="https://barttorvik.com/conf.php?conf=B12" TargetMode="External"/><Relationship Id="rId24" Type="http://schemas.openxmlformats.org/officeDocument/2006/relationships/hyperlink" Target="https://barttorvik.com/team.php?team=Tennessee" TargetMode="External"/><Relationship Id="rId40" Type="http://schemas.openxmlformats.org/officeDocument/2006/relationships/hyperlink" Target="https://barttorvik.com/team.php?team=Kentucky" TargetMode="External"/><Relationship Id="rId45" Type="http://schemas.openxmlformats.org/officeDocument/2006/relationships/hyperlink" Target="https://barttorvik.com/conf.php?conf=B10" TargetMode="External"/><Relationship Id="rId66" Type="http://schemas.openxmlformats.org/officeDocument/2006/relationships/hyperlink" Target="https://barttorvik.com/team.php?team=Oregon" TargetMode="External"/><Relationship Id="rId87" Type="http://schemas.openxmlformats.org/officeDocument/2006/relationships/hyperlink" Target="https://barttorvik.com/conf.php?conf=B12" TargetMode="External"/><Relationship Id="rId110" Type="http://schemas.openxmlformats.org/officeDocument/2006/relationships/hyperlink" Target="https://barttorvik.com/team.php?team=North+Carolina" TargetMode="External"/><Relationship Id="rId115" Type="http://schemas.openxmlformats.org/officeDocument/2006/relationships/hyperlink" Target="https://barttorvik.com/conf.php?conf=Horz" TargetMode="External"/><Relationship Id="rId131" Type="http://schemas.openxmlformats.org/officeDocument/2006/relationships/hyperlink" Target="https://barttorvik.com/conf.php?conf=SC" TargetMode="External"/><Relationship Id="rId136" Type="http://schemas.openxmlformats.org/officeDocument/2006/relationships/hyperlink" Target="https://barttorvik.com/team.php?team=American" TargetMode="External"/><Relationship Id="rId61" Type="http://schemas.openxmlformats.org/officeDocument/2006/relationships/hyperlink" Target="https://barttorvik.com/conf.php?conf=SEC" TargetMode="External"/><Relationship Id="rId82" Type="http://schemas.openxmlformats.org/officeDocument/2006/relationships/hyperlink" Target="https://barttorvik.com/team.php?team=Grand+Canyon" TargetMode="External"/><Relationship Id="rId19" Type="http://schemas.openxmlformats.org/officeDocument/2006/relationships/hyperlink" Target="https://barttorvik.com/conf.php?conf=SEC" TargetMode="External"/><Relationship Id="rId14" Type="http://schemas.openxmlformats.org/officeDocument/2006/relationships/hyperlink" Target="https://barttorvik.com/team.php?team=Florida" TargetMode="External"/><Relationship Id="rId30" Type="http://schemas.openxmlformats.org/officeDocument/2006/relationships/hyperlink" Target="https://barttorvik.com/team.php?team=St.+John%27s" TargetMode="External"/><Relationship Id="rId35" Type="http://schemas.openxmlformats.org/officeDocument/2006/relationships/hyperlink" Target="https://barttorvik.com/conf.php?conf=B10" TargetMode="External"/><Relationship Id="rId56" Type="http://schemas.openxmlformats.org/officeDocument/2006/relationships/hyperlink" Target="https://barttorvik.com/team.php?team=Connecticut" TargetMode="External"/><Relationship Id="rId77" Type="http://schemas.openxmlformats.org/officeDocument/2006/relationships/hyperlink" Target="https://barttorvik.com/conf.php?conf=AE" TargetMode="External"/><Relationship Id="rId100" Type="http://schemas.openxmlformats.org/officeDocument/2006/relationships/hyperlink" Target="https://barttorvik.com/team.php?team=Missouri" TargetMode="External"/><Relationship Id="rId105" Type="http://schemas.openxmlformats.org/officeDocument/2006/relationships/hyperlink" Target="https://barttorvik.com/conf.php?conf=MAAC" TargetMode="External"/><Relationship Id="rId126" Type="http://schemas.openxmlformats.org/officeDocument/2006/relationships/hyperlink" Target="https://barttorvik.com/team.php?team=VCU" TargetMode="External"/><Relationship Id="rId8" Type="http://schemas.openxmlformats.org/officeDocument/2006/relationships/hyperlink" Target="https://barttorvik.com/team.php?team=Houston" TargetMode="External"/><Relationship Id="rId51" Type="http://schemas.openxmlformats.org/officeDocument/2006/relationships/hyperlink" Target="https://barttorvik.com/conf.php?conf=WCC" TargetMode="External"/><Relationship Id="rId72" Type="http://schemas.openxmlformats.org/officeDocument/2006/relationships/hyperlink" Target="https://barttorvik.com/team.php?team=Akron" TargetMode="External"/><Relationship Id="rId93" Type="http://schemas.openxmlformats.org/officeDocument/2006/relationships/hyperlink" Target="https://barttorvik.com/conf.php?conf=ACC" TargetMode="External"/><Relationship Id="rId98" Type="http://schemas.openxmlformats.org/officeDocument/2006/relationships/hyperlink" Target="https://barttorvik.com/team.php?team=Mississippi+St." TargetMode="External"/><Relationship Id="rId121" Type="http://schemas.openxmlformats.org/officeDocument/2006/relationships/hyperlink" Target="https://barttorvik.com/conf.php?conf=BW" TargetMode="External"/><Relationship Id="rId142" Type="http://schemas.openxmlformats.org/officeDocument/2006/relationships/hyperlink" Target="https://barttorvik.com/team.php?team=Texas" TargetMode="External"/><Relationship Id="rId3" Type="http://schemas.openxmlformats.org/officeDocument/2006/relationships/hyperlink" Target="https://barttorvik.com/tourneytime.php?&amp;conlimit=All&amp;sort=3" TargetMode="External"/><Relationship Id="rId25" Type="http://schemas.openxmlformats.org/officeDocument/2006/relationships/hyperlink" Target="https://barttorvik.com/conf.php?conf=SEC" TargetMode="External"/><Relationship Id="rId46" Type="http://schemas.openxmlformats.org/officeDocument/2006/relationships/hyperlink" Target="https://barttorvik.com/team.php?team=Illinois" TargetMode="External"/><Relationship Id="rId67" Type="http://schemas.openxmlformats.org/officeDocument/2006/relationships/hyperlink" Target="https://barttorvik.com/conf.php?conf=B10" TargetMode="External"/><Relationship Id="rId116" Type="http://schemas.openxmlformats.org/officeDocument/2006/relationships/hyperlink" Target="https://barttorvik.com/team.php?team=SIU+Edwardsville" TargetMode="External"/><Relationship Id="rId137" Type="http://schemas.openxmlformats.org/officeDocument/2006/relationships/hyperlink" Target="https://barttorvik.com/conf.php?conf=Pat" TargetMode="External"/><Relationship Id="rId20" Type="http://schemas.openxmlformats.org/officeDocument/2006/relationships/hyperlink" Target="https://barttorvik.com/team.php?team=Iowa+St." TargetMode="External"/><Relationship Id="rId41" Type="http://schemas.openxmlformats.org/officeDocument/2006/relationships/hyperlink" Target="https://barttorvik.com/conf.php?conf=SEC" TargetMode="External"/><Relationship Id="rId62" Type="http://schemas.openxmlformats.org/officeDocument/2006/relationships/hyperlink" Target="https://barttorvik.com/team.php?team=Colorado+St." TargetMode="External"/><Relationship Id="rId83" Type="http://schemas.openxmlformats.org/officeDocument/2006/relationships/hyperlink" Target="https://barttorvik.com/conf.php?conf=WAC" TargetMode="External"/><Relationship Id="rId88" Type="http://schemas.openxmlformats.org/officeDocument/2006/relationships/hyperlink" Target="https://barttorvik.com/team.php?team=Liberty" TargetMode="External"/><Relationship Id="rId111" Type="http://schemas.openxmlformats.org/officeDocument/2006/relationships/hyperlink" Target="https://barttorvik.com/conf.php?conf=ACC" TargetMode="External"/><Relationship Id="rId132" Type="http://schemas.openxmlformats.org/officeDocument/2006/relationships/hyperlink" Target="https://barttorvik.com/team.php?team=Xavier" TargetMode="External"/><Relationship Id="rId15" Type="http://schemas.openxmlformats.org/officeDocument/2006/relationships/hyperlink" Target="https://barttorvik.com/conf.php?conf=SEC" TargetMode="External"/><Relationship Id="rId36" Type="http://schemas.openxmlformats.org/officeDocument/2006/relationships/hyperlink" Target="https://barttorvik.com/team.php?team=BYU" TargetMode="External"/><Relationship Id="rId57" Type="http://schemas.openxmlformats.org/officeDocument/2006/relationships/hyperlink" Target="https://barttorvik.com/conf.php?conf=BE" TargetMode="External"/><Relationship Id="rId106" Type="http://schemas.openxmlformats.org/officeDocument/2006/relationships/hyperlink" Target="https://barttorvik.com/team.php?team=Nebraska+Omaha" TargetMode="External"/><Relationship Id="rId127" Type="http://schemas.openxmlformats.org/officeDocument/2006/relationships/hyperlink" Target="https://barttorvik.com/conf.php?conf=A10" TargetMode="External"/><Relationship Id="rId10" Type="http://schemas.openxmlformats.org/officeDocument/2006/relationships/hyperlink" Target="https://barttorvik.com/team.php?team=Duke" TargetMode="External"/><Relationship Id="rId31" Type="http://schemas.openxmlformats.org/officeDocument/2006/relationships/hyperlink" Target="https://barttorvik.com/conf.php?conf=BE" TargetMode="External"/><Relationship Id="rId52" Type="http://schemas.openxmlformats.org/officeDocument/2006/relationships/hyperlink" Target="https://barttorvik.com/team.php?team=Mississippi" TargetMode="External"/><Relationship Id="rId73" Type="http://schemas.openxmlformats.org/officeDocument/2006/relationships/hyperlink" Target="https://barttorvik.com/conf.php?conf=MAC" TargetMode="External"/><Relationship Id="rId78" Type="http://schemas.openxmlformats.org/officeDocument/2006/relationships/hyperlink" Target="https://barttorvik.com/team.php?team=Clemson" TargetMode="External"/><Relationship Id="rId94" Type="http://schemas.openxmlformats.org/officeDocument/2006/relationships/hyperlink" Target="https://barttorvik.com/team.php?team=Marquette" TargetMode="External"/><Relationship Id="rId99" Type="http://schemas.openxmlformats.org/officeDocument/2006/relationships/hyperlink" Target="https://barttorvik.com/conf.php?conf=SEC" TargetMode="External"/><Relationship Id="rId101" Type="http://schemas.openxmlformats.org/officeDocument/2006/relationships/hyperlink" Target="https://barttorvik.com/conf.php?conf=SEC" TargetMode="External"/><Relationship Id="rId122" Type="http://schemas.openxmlformats.org/officeDocument/2006/relationships/hyperlink" Target="https://barttorvik.com/team.php?team=UNC+Wilmington" TargetMode="External"/><Relationship Id="rId143" Type="http://schemas.openxmlformats.org/officeDocument/2006/relationships/hyperlink" Target="https://barttorvik.com/conf.php?conf=SEC" TargetMode="External"/><Relationship Id="rId4" Type="http://schemas.openxmlformats.org/officeDocument/2006/relationships/hyperlink" Target="https://barttorvik.com/tourneytime.php?&amp;conlimit=All&amp;sort=4" TargetMode="External"/><Relationship Id="rId9" Type="http://schemas.openxmlformats.org/officeDocument/2006/relationships/hyperlink" Target="https://barttorvik.com/conf.php?conf=B12" TargetMode="External"/><Relationship Id="rId26" Type="http://schemas.openxmlformats.org/officeDocument/2006/relationships/hyperlink" Target="https://barttorvik.com/team.php?team=Michigan+St." TargetMode="External"/><Relationship Id="rId47" Type="http://schemas.openxmlformats.org/officeDocument/2006/relationships/hyperlink" Target="https://barttorvik.com/conf.php?conf=B10" TargetMode="External"/><Relationship Id="rId68" Type="http://schemas.openxmlformats.org/officeDocument/2006/relationships/hyperlink" Target="https://barttorvik.com/team.php?team=Drake" TargetMode="External"/><Relationship Id="rId89" Type="http://schemas.openxmlformats.org/officeDocument/2006/relationships/hyperlink" Target="https://barttorvik.com/conf.php?conf=CUSA" TargetMode="External"/><Relationship Id="rId112" Type="http://schemas.openxmlformats.org/officeDocument/2006/relationships/hyperlink" Target="https://barttorvik.com/team.php?team=Oklahoma" TargetMode="External"/><Relationship Id="rId133" Type="http://schemas.openxmlformats.org/officeDocument/2006/relationships/hyperlink" Target="https://barttorvik.com/conf.php?conf=BE" TargetMode="External"/><Relationship Id="rId16" Type="http://schemas.openxmlformats.org/officeDocument/2006/relationships/hyperlink" Target="https://barttorvik.com/team.php?team=Texas+Te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AD15-89EA-4C21-8E90-9085CED775FD}">
  <sheetPr codeName="Sheet1"/>
  <dimension ref="A1:N64"/>
  <sheetViews>
    <sheetView tabSelected="1" workbookViewId="0">
      <selection activeCell="I10" sqref="I10"/>
    </sheetView>
  </sheetViews>
  <sheetFormatPr defaultRowHeight="14.4" x14ac:dyDescent="0.3"/>
  <cols>
    <col min="3" max="3" width="14.5546875" customWidth="1"/>
    <col min="4" max="4" width="8.6640625" style="78" bestFit="1" customWidth="1"/>
    <col min="5" max="5" width="14.5546875" customWidth="1"/>
    <col min="6" max="6" width="14.77734375" customWidth="1"/>
    <col min="8" max="8" width="23.21875" customWidth="1"/>
    <col min="9" max="9" width="37.109375" customWidth="1"/>
    <col min="11" max="11" width="13.6640625" bestFit="1" customWidth="1"/>
    <col min="13" max="13" width="10.5546875" bestFit="1" customWidth="1"/>
    <col min="14" max="14" width="9.5546875" style="78" bestFit="1" customWidth="1"/>
  </cols>
  <sheetData>
    <row r="1" spans="1:14" x14ac:dyDescent="0.3">
      <c r="A1" s="1" t="s">
        <v>0</v>
      </c>
      <c r="B1" s="1" t="s">
        <v>7</v>
      </c>
      <c r="C1" s="1" t="s">
        <v>1</v>
      </c>
      <c r="D1" s="77" t="s">
        <v>2</v>
      </c>
      <c r="E1" s="1" t="s">
        <v>3</v>
      </c>
      <c r="F1" s="1" t="s">
        <v>4</v>
      </c>
      <c r="G1" s="1" t="s">
        <v>8</v>
      </c>
      <c r="H1" s="1" t="s">
        <v>9</v>
      </c>
      <c r="I1" s="1" t="s">
        <v>10</v>
      </c>
      <c r="K1" s="1" t="s">
        <v>224</v>
      </c>
      <c r="L1" s="1" t="s">
        <v>225</v>
      </c>
      <c r="M1" s="1"/>
    </row>
    <row r="2" spans="1:14" x14ac:dyDescent="0.3">
      <c r="A2" s="2" t="s">
        <v>13</v>
      </c>
      <c r="B2" s="2" t="s">
        <v>54</v>
      </c>
      <c r="C2" s="2" t="s">
        <v>5</v>
      </c>
      <c r="D2" s="79">
        <v>1</v>
      </c>
      <c r="E2" s="2" t="s">
        <v>14</v>
      </c>
      <c r="F2" s="2" t="s">
        <v>12</v>
      </c>
      <c r="G2" s="73">
        <f>K2/(K2+L2)</f>
        <v>1</v>
      </c>
      <c r="H2" s="2" t="str">
        <f t="shared" ref="H2:H64" ca="1" si="0">IF(RAND() &lt;G2, E2, F2)</f>
        <v>Auburn</v>
      </c>
      <c r="I2" s="2" t="s">
        <v>15</v>
      </c>
      <c r="K2" s="85">
        <f>INDEX(Sheet2!$C$1:$K$70,MATCH(E2,Sheet2!$C$1:$C$70,0),MATCH(C2,Sheet2!$C$1:$K$1,0))/100</f>
        <v>1</v>
      </c>
      <c r="L2" s="85">
        <f>INDEX(Sheet2!$C$1:$K$70,MATCH(F2,Sheet2!$C$1:$C$70,0),MATCH(C2,Sheet2!$C$1:$K$1,0))/100</f>
        <v>0</v>
      </c>
      <c r="M2" s="85"/>
      <c r="N2" s="78" t="str">
        <f t="shared" ref="N2:N6" si="1">IF(D2=1,"3/20/2025",DATEVALUE("3/20/25")+D2-1)</f>
        <v>3/20/2025</v>
      </c>
    </row>
    <row r="3" spans="1:14" x14ac:dyDescent="0.3">
      <c r="A3" s="2" t="s">
        <v>16</v>
      </c>
      <c r="B3" s="2" t="s">
        <v>54</v>
      </c>
      <c r="C3" s="2" t="s">
        <v>5</v>
      </c>
      <c r="D3" s="79">
        <v>1</v>
      </c>
      <c r="E3" s="2" t="s">
        <v>17</v>
      </c>
      <c r="F3" s="2" t="s">
        <v>18</v>
      </c>
      <c r="G3" s="73">
        <f t="shared" ref="G3:G64" si="2">K3/(K3+L3)</f>
        <v>0</v>
      </c>
      <c r="H3" s="2" t="str">
        <f t="shared" ca="1" si="0"/>
        <v>Creighton</v>
      </c>
      <c r="I3" s="2" t="s">
        <v>15</v>
      </c>
      <c r="K3" s="85">
        <f>INDEX(Sheet2!$C$1:$K$70,MATCH(E3,Sheet2!$C$1:$C$70,0),MATCH(C3,Sheet2!$C$1:$K$1,0))/100</f>
        <v>0</v>
      </c>
      <c r="L3" s="85">
        <f>INDEX(Sheet2!$C$1:$K$70,MATCH(F3,Sheet2!$C$1:$C$70,0),MATCH(C3,Sheet2!$C$1:$K$1,0))/100</f>
        <v>1</v>
      </c>
      <c r="M3" s="85"/>
      <c r="N3" s="78" t="str">
        <f t="shared" si="1"/>
        <v>3/20/2025</v>
      </c>
    </row>
    <row r="4" spans="1:14" x14ac:dyDescent="0.3">
      <c r="A4" s="2" t="s">
        <v>19</v>
      </c>
      <c r="B4" s="2" t="s">
        <v>54</v>
      </c>
      <c r="C4" s="2" t="s">
        <v>5</v>
      </c>
      <c r="D4" s="79">
        <v>1</v>
      </c>
      <c r="E4" s="2" t="s">
        <v>20</v>
      </c>
      <c r="F4" s="2" t="s">
        <v>21</v>
      </c>
      <c r="G4" s="73">
        <f t="shared" si="2"/>
        <v>1</v>
      </c>
      <c r="H4" s="2" t="str">
        <f t="shared" ca="1" si="0"/>
        <v>Michigan</v>
      </c>
      <c r="I4" s="2" t="s">
        <v>22</v>
      </c>
      <c r="K4" s="85">
        <f>INDEX(Sheet2!$C$1:$K$70,MATCH(E4,Sheet2!$C$1:$C$70,0),MATCH(C4,Sheet2!$C$1:$K$1,0))/100</f>
        <v>1</v>
      </c>
      <c r="L4" s="85">
        <f>INDEX(Sheet2!$C$1:$K$70,MATCH(F4,Sheet2!$C$1:$C$70,0),MATCH(C4,Sheet2!$C$1:$K$1,0))/100</f>
        <v>0</v>
      </c>
      <c r="M4" s="85"/>
      <c r="N4" s="78" t="str">
        <f t="shared" si="1"/>
        <v>3/20/2025</v>
      </c>
    </row>
    <row r="5" spans="1:14" x14ac:dyDescent="0.3">
      <c r="A5" s="2" t="s">
        <v>23</v>
      </c>
      <c r="B5" s="2" t="s">
        <v>54</v>
      </c>
      <c r="C5" s="2" t="s">
        <v>5</v>
      </c>
      <c r="D5" s="79">
        <v>1</v>
      </c>
      <c r="E5" s="2" t="s">
        <v>24</v>
      </c>
      <c r="F5" s="2" t="s">
        <v>25</v>
      </c>
      <c r="G5" s="73">
        <f t="shared" si="2"/>
        <v>1</v>
      </c>
      <c r="H5" s="2" t="str">
        <f t="shared" ca="1" si="0"/>
        <v>Texas A&amp;M</v>
      </c>
      <c r="I5" s="2" t="s">
        <v>22</v>
      </c>
      <c r="K5" s="85">
        <f>INDEX(Sheet2!$C$1:$K$70,MATCH(E5,Sheet2!$C$1:$C$70,0),MATCH(C5,Sheet2!$C$1:$K$1,0))/100</f>
        <v>1</v>
      </c>
      <c r="L5" s="85">
        <f>INDEX(Sheet2!$C$1:$K$70,MATCH(F5,Sheet2!$C$1:$C$70,0),MATCH(C5,Sheet2!$C$1:$K$1,0))/100</f>
        <v>0</v>
      </c>
      <c r="M5" s="85"/>
      <c r="N5" s="78" t="str">
        <f t="shared" si="1"/>
        <v>3/20/2025</v>
      </c>
    </row>
    <row r="6" spans="1:14" x14ac:dyDescent="0.3">
      <c r="A6" s="2" t="s">
        <v>26</v>
      </c>
      <c r="B6" s="2" t="s">
        <v>54</v>
      </c>
      <c r="C6" s="2" t="s">
        <v>5</v>
      </c>
      <c r="D6" s="80">
        <v>2</v>
      </c>
      <c r="E6" s="2" t="s">
        <v>190</v>
      </c>
      <c r="F6" s="2" t="s">
        <v>27</v>
      </c>
      <c r="G6" s="73">
        <f t="shared" si="2"/>
        <v>1</v>
      </c>
      <c r="H6" s="2" t="str">
        <f t="shared" ca="1" si="0"/>
        <v>Mississippi</v>
      </c>
      <c r="I6" s="2" t="s">
        <v>28</v>
      </c>
      <c r="K6" s="85">
        <f>INDEX(Sheet2!$C$1:$K$70,MATCH(E6,Sheet2!$C$1:$C$70,0),MATCH(C6,Sheet2!$C$1:$K$1,0))/100</f>
        <v>1</v>
      </c>
      <c r="L6" s="85">
        <f>INDEX(Sheet2!$C$1:$K$70,MATCH(F6,Sheet2!$C$1:$C$70,0),MATCH(C6,Sheet2!$C$1:$K$1,0))/100</f>
        <v>0</v>
      </c>
      <c r="M6" s="85"/>
      <c r="N6" s="78">
        <f>IF(D6=1,"3/20/2025",DATEVALUE("3/20/25")+D6-1)</f>
        <v>45737</v>
      </c>
    </row>
    <row r="7" spans="1:14" x14ac:dyDescent="0.3">
      <c r="A7" s="2" t="s">
        <v>29</v>
      </c>
      <c r="B7" s="2" t="s">
        <v>54</v>
      </c>
      <c r="C7" s="2" t="s">
        <v>5</v>
      </c>
      <c r="D7" s="80">
        <v>2</v>
      </c>
      <c r="E7" s="2" t="s">
        <v>30</v>
      </c>
      <c r="F7" s="2" t="s">
        <v>31</v>
      </c>
      <c r="G7" s="73">
        <f t="shared" si="2"/>
        <v>1</v>
      </c>
      <c r="H7" s="2" t="str">
        <f t="shared" ca="1" si="0"/>
        <v>Iowa St.</v>
      </c>
      <c r="I7" s="2" t="s">
        <v>28</v>
      </c>
      <c r="K7" s="85">
        <f>INDEX(Sheet2!$C$1:$K$70,MATCH(E7,Sheet2!$C$1:$C$70,0),MATCH(C7,Sheet2!$C$1:$K$1,0))/100</f>
        <v>1</v>
      </c>
      <c r="L7" s="85">
        <f>INDEX(Sheet2!$C$1:$K$70,MATCH(F7,Sheet2!$C$1:$C$70,0),MATCH(C7,Sheet2!$C$1:$K$1,0))/100</f>
        <v>0</v>
      </c>
      <c r="M7" s="85"/>
      <c r="N7" s="78">
        <f t="shared" ref="N7:N14" si="3">IF(D7=1,"3/20/2025",DATEVALUE("3/20/25")+D7-1)</f>
        <v>45737</v>
      </c>
    </row>
    <row r="8" spans="1:14" x14ac:dyDescent="0.3">
      <c r="A8" s="2" t="s">
        <v>32</v>
      </c>
      <c r="B8" s="2" t="s">
        <v>54</v>
      </c>
      <c r="C8" s="2" t="s">
        <v>5</v>
      </c>
      <c r="D8" s="80">
        <v>2</v>
      </c>
      <c r="E8" s="2" t="s">
        <v>33</v>
      </c>
      <c r="F8" s="2" t="s">
        <v>34</v>
      </c>
      <c r="G8" s="73">
        <f t="shared" si="2"/>
        <v>0</v>
      </c>
      <c r="H8" s="2" t="str">
        <f t="shared" ca="1" si="0"/>
        <v>New Mexico</v>
      </c>
      <c r="I8" s="2" t="s">
        <v>35</v>
      </c>
      <c r="K8" s="85">
        <f>INDEX(Sheet2!$C$1:$K$70,MATCH(E8,Sheet2!$C$1:$C$70,0),MATCH(C8,Sheet2!$C$1:$K$1,0))/100</f>
        <v>0</v>
      </c>
      <c r="L8" s="85">
        <f>INDEX(Sheet2!$C$1:$K$70,MATCH(F8,Sheet2!$C$1:$C$70,0),MATCH(C8,Sheet2!$C$1:$K$1,0))/100</f>
        <v>1</v>
      </c>
      <c r="M8" s="85"/>
      <c r="N8" s="78">
        <f t="shared" si="3"/>
        <v>45737</v>
      </c>
    </row>
    <row r="9" spans="1:14" x14ac:dyDescent="0.3">
      <c r="A9" s="2" t="s">
        <v>36</v>
      </c>
      <c r="B9" s="2" t="s">
        <v>54</v>
      </c>
      <c r="C9" s="2" t="s">
        <v>5</v>
      </c>
      <c r="D9" s="80">
        <v>2</v>
      </c>
      <c r="E9" s="2" t="s">
        <v>37</v>
      </c>
      <c r="F9" s="2" t="s">
        <v>38</v>
      </c>
      <c r="G9" s="73">
        <f t="shared" si="2"/>
        <v>1</v>
      </c>
      <c r="H9" s="2" t="str">
        <f t="shared" ca="1" si="0"/>
        <v>Michigan St.</v>
      </c>
      <c r="I9" s="2" t="s">
        <v>35</v>
      </c>
      <c r="K9" s="85">
        <f>INDEX(Sheet2!$C$1:$K$70,MATCH(E9,Sheet2!$C$1:$C$70,0),MATCH(C9,Sheet2!$C$1:$K$1,0))/100</f>
        <v>1</v>
      </c>
      <c r="L9" s="85">
        <f>INDEX(Sheet2!$C$1:$K$70,MATCH(F9,Sheet2!$C$1:$C$70,0),MATCH(C9,Sheet2!$C$1:$K$1,0))/100</f>
        <v>0</v>
      </c>
      <c r="M9" s="85"/>
      <c r="N9" s="78">
        <f t="shared" si="3"/>
        <v>45737</v>
      </c>
    </row>
    <row r="10" spans="1:14" x14ac:dyDescent="0.3">
      <c r="A10" s="2" t="s">
        <v>39</v>
      </c>
      <c r="B10" s="2" t="s">
        <v>54</v>
      </c>
      <c r="C10" s="2" t="s">
        <v>40</v>
      </c>
      <c r="D10" s="80">
        <v>3</v>
      </c>
      <c r="E10" s="2" t="str">
        <f ca="1">+H2</f>
        <v>Auburn</v>
      </c>
      <c r="F10" s="2" t="str">
        <f ca="1">+H3</f>
        <v>Creighton</v>
      </c>
      <c r="G10" s="73">
        <f t="shared" ca="1" si="2"/>
        <v>0.81499999999999995</v>
      </c>
      <c r="H10" s="2" t="str">
        <f ca="1">IF(RAND() &lt;G10, E10, F10)</f>
        <v>Auburn</v>
      </c>
      <c r="I10" s="2" t="s">
        <v>41</v>
      </c>
      <c r="K10" s="85">
        <f ca="1">INDEX(Sheet2!$C$1:$K$70,MATCH(E10,Sheet2!$C$1:$C$70,0),MATCH(C10,Sheet2!$C$1:$K$1,0))/INDEX(Sheet2!$C$1:$K$70,MATCH(E10,Sheet2!$C$1:$C$70,0),MATCH(C6,Sheet2!$C$1:$K$1,0))</f>
        <v>0.81499999999999995</v>
      </c>
      <c r="L10" s="85">
        <f ca="1">INDEX(Sheet2!$C$1:$K$70,MATCH(F10,Sheet2!$C$1:$C$70,0),MATCH(C10,Sheet2!$C$1:$K$1,0))/INDEX(Sheet2!$C$1:$K$70,MATCH(F10,Sheet2!$C$1:$C$70,0),MATCH(C6,Sheet2!$C$1:$K$1,0))</f>
        <v>0.185</v>
      </c>
      <c r="M10" s="85"/>
      <c r="N10" s="78">
        <f t="shared" si="3"/>
        <v>45738</v>
      </c>
    </row>
    <row r="11" spans="1:14" x14ac:dyDescent="0.3">
      <c r="A11" s="2" t="s">
        <v>42</v>
      </c>
      <c r="B11" s="2" t="s">
        <v>54</v>
      </c>
      <c r="C11" s="2" t="s">
        <v>40</v>
      </c>
      <c r="D11" s="80">
        <v>3</v>
      </c>
      <c r="E11" s="2" t="str">
        <f ca="1">+H4</f>
        <v>Michigan</v>
      </c>
      <c r="F11" s="2" t="str">
        <f ca="1">+H5</f>
        <v>Texas A&amp;M</v>
      </c>
      <c r="G11" s="73">
        <f t="shared" ca="1" si="2"/>
        <v>0.46700000000000003</v>
      </c>
      <c r="H11" s="2" t="str">
        <f t="shared" ca="1" si="0"/>
        <v>Texas A&amp;M</v>
      </c>
      <c r="I11" s="2" t="s">
        <v>41</v>
      </c>
      <c r="K11" s="85">
        <f ca="1">INDEX(Sheet2!$C$1:$K$70,MATCH(E11,Sheet2!$C$1:$C$70,0),MATCH(C11,Sheet2!$C$1:$K$1,0))/INDEX(Sheet2!$C$1:$K$70,MATCH(E11,Sheet2!$C$1:$C$70,0),MATCH(C7,Sheet2!$C$1:$K$1,0))</f>
        <v>0.46700000000000003</v>
      </c>
      <c r="L11" s="85">
        <f ca="1">INDEX(Sheet2!$C$1:$K$70,MATCH(F11,Sheet2!$C$1:$C$70,0),MATCH(C11,Sheet2!$C$1:$K$1,0))/INDEX(Sheet2!$C$1:$K$70,MATCH(F11,Sheet2!$C$1:$C$70,0),MATCH(C7,Sheet2!$C$1:$K$1,0))</f>
        <v>0.53299999999999992</v>
      </c>
      <c r="M11" s="85"/>
      <c r="N11" s="78">
        <f t="shared" si="3"/>
        <v>45738</v>
      </c>
    </row>
    <row r="12" spans="1:14" x14ac:dyDescent="0.3">
      <c r="A12" s="2" t="s">
        <v>43</v>
      </c>
      <c r="B12" s="2" t="s">
        <v>54</v>
      </c>
      <c r="C12" s="2" t="s">
        <v>40</v>
      </c>
      <c r="D12" s="80">
        <v>4</v>
      </c>
      <c r="E12" s="2" t="str">
        <f ca="1">+H6</f>
        <v>Mississippi</v>
      </c>
      <c r="F12" s="2" t="str">
        <f ca="1">+H7</f>
        <v>Iowa St.</v>
      </c>
      <c r="G12" s="73">
        <f t="shared" ca="1" si="2"/>
        <v>0.318</v>
      </c>
      <c r="H12" s="2" t="str">
        <f t="shared" ca="1" si="0"/>
        <v>Iowa St.</v>
      </c>
      <c r="I12" s="2" t="s">
        <v>44</v>
      </c>
      <c r="K12" s="85">
        <f ca="1">INDEX(Sheet2!$C$1:$K$70,MATCH(E12,Sheet2!$C$1:$C$70,0),MATCH(C12,Sheet2!$C$1:$K$1,0))/INDEX(Sheet2!$C$1:$K$70,MATCH(E12,Sheet2!$C$1:$C$70,0),MATCH(C8,Sheet2!$C$1:$K$1,0))</f>
        <v>0.318</v>
      </c>
      <c r="L12" s="85">
        <f ca="1">INDEX(Sheet2!$C$1:$K$70,MATCH(F12,Sheet2!$C$1:$C$70,0),MATCH(C12,Sheet2!$C$1:$K$1,0))/INDEX(Sheet2!$C$1:$K$70,MATCH(F12,Sheet2!$C$1:$C$70,0),MATCH(C8,Sheet2!$C$1:$K$1,0))</f>
        <v>0.68200000000000005</v>
      </c>
      <c r="M12" s="85"/>
      <c r="N12" s="78">
        <f t="shared" si="3"/>
        <v>45739</v>
      </c>
    </row>
    <row r="13" spans="1:14" x14ac:dyDescent="0.3">
      <c r="A13" s="2" t="s">
        <v>45</v>
      </c>
      <c r="B13" s="2" t="s">
        <v>54</v>
      </c>
      <c r="C13" s="2" t="s">
        <v>40</v>
      </c>
      <c r="D13" s="80">
        <v>4</v>
      </c>
      <c r="E13" s="2" t="str">
        <f ca="1">+H8</f>
        <v>New Mexico</v>
      </c>
      <c r="F13" s="2" t="str">
        <f ca="1">+H9</f>
        <v>Michigan St.</v>
      </c>
      <c r="G13" s="73">
        <f t="shared" ca="1" si="2"/>
        <v>0.27699999999999997</v>
      </c>
      <c r="H13" s="2" t="str">
        <f t="shared" ca="1" si="0"/>
        <v>Michigan St.</v>
      </c>
      <c r="I13" s="2" t="s">
        <v>44</v>
      </c>
      <c r="K13" s="85">
        <f ca="1">INDEX(Sheet2!$C$1:$K$70,MATCH(E13,Sheet2!$C$1:$C$70,0),MATCH(C13,Sheet2!$C$1:$K$1,0))/INDEX(Sheet2!$C$1:$K$70,MATCH(E13,Sheet2!$C$1:$C$70,0),MATCH(C9,Sheet2!$C$1:$K$1,0))</f>
        <v>0.27699999999999997</v>
      </c>
      <c r="L13" s="85">
        <f ca="1">INDEX(Sheet2!$C$1:$K$70,MATCH(F13,Sheet2!$C$1:$C$70,0),MATCH(C13,Sheet2!$C$1:$K$1,0))/INDEX(Sheet2!$C$1:$K$70,MATCH(F13,Sheet2!$C$1:$C$70,0),MATCH(C9,Sheet2!$C$1:$K$1,0))</f>
        <v>0.72299999999999998</v>
      </c>
      <c r="M13" s="85"/>
      <c r="N13" s="78">
        <f t="shared" si="3"/>
        <v>45739</v>
      </c>
    </row>
    <row r="14" spans="1:14" x14ac:dyDescent="0.3">
      <c r="A14" s="2" t="s">
        <v>46</v>
      </c>
      <c r="B14" s="2" t="s">
        <v>54</v>
      </c>
      <c r="C14" s="2" t="s">
        <v>47</v>
      </c>
      <c r="D14" s="80">
        <v>6</v>
      </c>
      <c r="E14" s="2" t="str">
        <f ca="1">+H10</f>
        <v>Auburn</v>
      </c>
      <c r="F14" s="2" t="str">
        <f ca="1">+H11</f>
        <v>Texas A&amp;M</v>
      </c>
      <c r="G14" s="73">
        <f t="shared" ca="1" si="2"/>
        <v>0.71175734244449496</v>
      </c>
      <c r="H14" s="2" t="str">
        <f t="shared" ca="1" si="0"/>
        <v>Auburn</v>
      </c>
      <c r="I14" s="2" t="s">
        <v>48</v>
      </c>
      <c r="K14" s="85">
        <f ca="1">INDEX(Sheet2!$C$1:$K$70,MATCH(E14,Sheet2!$C$1:$C$70,0),MATCH(C14,Sheet2!$C$1:$K$1,0))/INDEX(Sheet2!$C$1:$K$70,MATCH(E14,Sheet2!$C$1:$C$70,0),MATCH(C10,Sheet2!$C$1:$K$1,0))</f>
        <v>0.76441717791411035</v>
      </c>
      <c r="L14" s="85">
        <f ca="1">INDEX(Sheet2!$C$1:$K$70,MATCH(F14,Sheet2!$C$1:$C$70,0),MATCH(C14,Sheet2!$C$1:$K$1,0))/INDEX(Sheet2!$C$1:$K$70,MATCH(F14,Sheet2!$C$1:$C$70,0),MATCH(C10,Sheet2!$C$1:$K$1,0))</f>
        <v>0.30956848030018763</v>
      </c>
      <c r="M14" s="85"/>
      <c r="N14" s="78">
        <f>IF(D14=1,"3/20/2025",DATEVALUE("3/20/25")+D14+2)</f>
        <v>45744</v>
      </c>
    </row>
    <row r="15" spans="1:14" x14ac:dyDescent="0.3">
      <c r="A15" s="2" t="s">
        <v>49</v>
      </c>
      <c r="B15" s="2" t="s">
        <v>54</v>
      </c>
      <c r="C15" s="2" t="s">
        <v>47</v>
      </c>
      <c r="D15" s="80">
        <v>6</v>
      </c>
      <c r="E15" s="2" t="str">
        <f ca="1">+H12</f>
        <v>Iowa St.</v>
      </c>
      <c r="F15" s="2" t="str">
        <f ca="1">+H13</f>
        <v>Michigan St.</v>
      </c>
      <c r="G15" s="73">
        <f t="shared" ca="1" si="2"/>
        <v>0.53883235720751665</v>
      </c>
      <c r="H15" s="2" t="str">
        <f t="shared" ca="1" si="0"/>
        <v>Iowa St.</v>
      </c>
      <c r="I15" s="2" t="s">
        <v>48</v>
      </c>
      <c r="K15" s="85">
        <f ca="1">INDEX(Sheet2!$C$1:$K$70,MATCH(E15,Sheet2!$C$1:$C$70,0),MATCH(C15,Sheet2!$C$1:$K$1,0))/INDEX(Sheet2!$C$1:$K$70,MATCH(E15,Sheet2!$C$1:$C$70,0),MATCH(C11,Sheet2!$C$1:$K$1,0))</f>
        <v>0.60117302052785926</v>
      </c>
      <c r="L15" s="85">
        <f ca="1">INDEX(Sheet2!$C$1:$K$70,MATCH(F15,Sheet2!$C$1:$C$70,0),MATCH(C15,Sheet2!$C$1:$K$1,0))/INDEX(Sheet2!$C$1:$K$70,MATCH(F15,Sheet2!$C$1:$C$70,0),MATCH(C11,Sheet2!$C$1:$K$1,0))</f>
        <v>0.51452282157676354</v>
      </c>
      <c r="M15" s="85"/>
      <c r="N15" s="78">
        <f>IF(D15=1,"3/20/2025",DATEVALUE("3/20/25")+D15+2)</f>
        <v>45744</v>
      </c>
    </row>
    <row r="16" spans="1:14" x14ac:dyDescent="0.3">
      <c r="A16" s="2" t="s">
        <v>50</v>
      </c>
      <c r="B16" s="2" t="s">
        <v>54</v>
      </c>
      <c r="C16" s="2" t="s">
        <v>51</v>
      </c>
      <c r="D16" s="80">
        <v>8</v>
      </c>
      <c r="E16" s="2" t="str">
        <f ca="1">+H14</f>
        <v>Auburn</v>
      </c>
      <c r="F16" s="2" t="str">
        <f ca="1">+H15</f>
        <v>Iowa St.</v>
      </c>
      <c r="G16" s="73">
        <f t="shared" ca="1" si="2"/>
        <v>0.60398147494173093</v>
      </c>
      <c r="H16" s="2" t="str">
        <f t="shared" ca="1" si="0"/>
        <v>Auburn</v>
      </c>
      <c r="I16" s="2" t="s">
        <v>90</v>
      </c>
      <c r="K16" s="85">
        <f ca="1">INDEX(Sheet2!$C$1:$K$70,MATCH(E16,Sheet2!$C$1:$C$70,0),MATCH(C16,Sheet2!$C$1:$K$1,0))/INDEX(Sheet2!$C$1:$K$70,MATCH(E16,Sheet2!$C$1:$C$70,0),MATCH(C14,Sheet2!$C$1:$K$1,0))</f>
        <v>0.7030497592295345</v>
      </c>
      <c r="L16" s="85">
        <f ca="1">INDEX(Sheet2!$C$1:$K$70,MATCH(F16,Sheet2!$C$1:$C$70,0),MATCH(C16,Sheet2!$C$1:$K$1,0))/INDEX(Sheet2!$C$1:$K$70,MATCH(F16,Sheet2!$C$1:$C$70,0),MATCH(C14,Sheet2!$C$1:$K$1,0))</f>
        <v>0.46097560975609753</v>
      </c>
      <c r="M16" s="85"/>
      <c r="N16" s="78">
        <f>IF(D16=1,"3/20/2025",DATEVALUE("3/20/25")+D16+2)</f>
        <v>45746</v>
      </c>
    </row>
    <row r="17" spans="1:14" ht="28.8" x14ac:dyDescent="0.3">
      <c r="A17" s="3" t="s">
        <v>53</v>
      </c>
      <c r="B17" s="3" t="s">
        <v>92</v>
      </c>
      <c r="C17" s="3" t="s">
        <v>5</v>
      </c>
      <c r="D17" s="81">
        <v>2</v>
      </c>
      <c r="E17" s="3" t="s">
        <v>55</v>
      </c>
      <c r="F17" s="3" t="s">
        <v>205</v>
      </c>
      <c r="G17" s="74">
        <f t="shared" si="2"/>
        <v>1</v>
      </c>
      <c r="H17" s="3" t="str">
        <f t="shared" ca="1" si="0"/>
        <v>Duke</v>
      </c>
      <c r="I17" s="3" t="s">
        <v>56</v>
      </c>
      <c r="K17" s="85">
        <f>INDEX(Sheet2!$C$1:$K$70,MATCH(E17,Sheet2!$C$1:$C$70,0),MATCH(C17,Sheet2!$C$1:$K$1,0))/100</f>
        <v>1</v>
      </c>
      <c r="L17" s="85">
        <f>INDEX(Sheet2!$C$1:$K$70,MATCH(F17,Sheet2!$C$1:$C$70,0),MATCH(C17,Sheet2!$C$1:$K$1,0))/100</f>
        <v>0</v>
      </c>
      <c r="M17" s="85"/>
      <c r="N17" s="78">
        <f t="shared" ref="N17:N21" si="4">IF(D17=1,"3/20/2025",DATEVALUE("3/20/25")+D17-1)</f>
        <v>45737</v>
      </c>
    </row>
    <row r="18" spans="1:14" x14ac:dyDescent="0.3">
      <c r="A18" s="3" t="s">
        <v>57</v>
      </c>
      <c r="B18" s="3" t="s">
        <v>92</v>
      </c>
      <c r="C18" s="3" t="s">
        <v>5</v>
      </c>
      <c r="D18" s="81">
        <v>2</v>
      </c>
      <c r="E18" s="3" t="s">
        <v>58</v>
      </c>
      <c r="F18" s="3" t="s">
        <v>59</v>
      </c>
      <c r="G18" s="74">
        <f t="shared" si="2"/>
        <v>0</v>
      </c>
      <c r="H18" s="3" t="str">
        <f t="shared" ca="1" si="0"/>
        <v>Baylor</v>
      </c>
      <c r="I18" s="3" t="s">
        <v>56</v>
      </c>
      <c r="K18" s="85">
        <f>INDEX(Sheet2!$C$1:$K$70,MATCH(E18,Sheet2!$C$1:$C$70,0),MATCH(C18,Sheet2!$C$1:$K$1,0))/100</f>
        <v>0</v>
      </c>
      <c r="L18" s="85">
        <f>INDEX(Sheet2!$C$1:$K$70,MATCH(F18,Sheet2!$C$1:$C$70,0),MATCH(C18,Sheet2!$C$1:$K$1,0))/100</f>
        <v>1</v>
      </c>
      <c r="M18" s="85"/>
      <c r="N18" s="78">
        <f t="shared" si="4"/>
        <v>45737</v>
      </c>
    </row>
    <row r="19" spans="1:14" x14ac:dyDescent="0.3">
      <c r="A19" s="3" t="s">
        <v>60</v>
      </c>
      <c r="B19" s="3" t="s">
        <v>92</v>
      </c>
      <c r="C19" s="3" t="s">
        <v>5</v>
      </c>
      <c r="D19" s="81">
        <v>2</v>
      </c>
      <c r="E19" s="3" t="s">
        <v>61</v>
      </c>
      <c r="F19" s="3" t="s">
        <v>62</v>
      </c>
      <c r="G19" s="74">
        <f t="shared" si="2"/>
        <v>1</v>
      </c>
      <c r="H19" s="3" t="str">
        <f t="shared" ca="1" si="0"/>
        <v>Oregon</v>
      </c>
      <c r="I19" s="3" t="s">
        <v>63</v>
      </c>
      <c r="K19" s="85">
        <f>INDEX(Sheet2!$C$1:$K$70,MATCH(E19,Sheet2!$C$1:$C$70,0),MATCH(C19,Sheet2!$C$1:$K$1,0))/100</f>
        <v>1</v>
      </c>
      <c r="L19" s="85">
        <f>INDEX(Sheet2!$C$1:$K$70,MATCH(F19,Sheet2!$C$1:$C$70,0),MATCH(C19,Sheet2!$C$1:$K$1,0))/100</f>
        <v>0</v>
      </c>
      <c r="M19" s="85"/>
      <c r="N19" s="78">
        <f t="shared" si="4"/>
        <v>45737</v>
      </c>
    </row>
    <row r="20" spans="1:14" x14ac:dyDescent="0.3">
      <c r="A20" s="3" t="s">
        <v>64</v>
      </c>
      <c r="B20" s="3" t="s">
        <v>92</v>
      </c>
      <c r="C20" s="3" t="s">
        <v>5</v>
      </c>
      <c r="D20" s="81">
        <v>2</v>
      </c>
      <c r="E20" s="3" t="s">
        <v>65</v>
      </c>
      <c r="F20" s="3" t="s">
        <v>66</v>
      </c>
      <c r="G20" s="74">
        <f t="shared" si="2"/>
        <v>1</v>
      </c>
      <c r="H20" s="3" t="str">
        <f t="shared" ca="1" si="0"/>
        <v>Arizona</v>
      </c>
      <c r="I20" s="3" t="s">
        <v>63</v>
      </c>
      <c r="K20" s="85">
        <f>INDEX(Sheet2!$C$1:$K$70,MATCH(E20,Sheet2!$C$1:$C$70,0),MATCH(C20,Sheet2!$C$1:$K$1,0))/100</f>
        <v>1</v>
      </c>
      <c r="L20" s="85">
        <f>INDEX(Sheet2!$C$1:$K$70,MATCH(F20,Sheet2!$C$1:$C$70,0),MATCH(C20,Sheet2!$C$1:$K$1,0))/100</f>
        <v>0</v>
      </c>
      <c r="M20" s="85"/>
      <c r="N20" s="78">
        <f t="shared" si="4"/>
        <v>45737</v>
      </c>
    </row>
    <row r="21" spans="1:14" x14ac:dyDescent="0.3">
      <c r="A21" s="3" t="s">
        <v>67</v>
      </c>
      <c r="B21" s="3" t="s">
        <v>92</v>
      </c>
      <c r="C21" s="3" t="s">
        <v>5</v>
      </c>
      <c r="D21" s="81">
        <v>1</v>
      </c>
      <c r="E21" s="3" t="s">
        <v>68</v>
      </c>
      <c r="F21" s="3" t="s">
        <v>69</v>
      </c>
      <c r="G21" s="74">
        <f t="shared" si="2"/>
        <v>1</v>
      </c>
      <c r="H21" s="3" t="str">
        <f t="shared" ca="1" si="0"/>
        <v>BYU</v>
      </c>
      <c r="I21" s="3" t="s">
        <v>70</v>
      </c>
      <c r="K21" s="85">
        <f>INDEX(Sheet2!$C$1:$K$70,MATCH(E21,Sheet2!$C$1:$C$70,0),MATCH(C21,Sheet2!$C$1:$K$1,0))/100</f>
        <v>1</v>
      </c>
      <c r="L21" s="85">
        <f>INDEX(Sheet2!$C$1:$K$70,MATCH(F21,Sheet2!$C$1:$C$70,0),MATCH(C21,Sheet2!$C$1:$K$1,0))/100</f>
        <v>0</v>
      </c>
      <c r="M21" s="85"/>
      <c r="N21" s="78" t="str">
        <f>IF(D21=1,"3/20/2025",DATEVALUE("3/20/25")+D21-1)</f>
        <v>3/20/2025</v>
      </c>
    </row>
    <row r="22" spans="1:14" x14ac:dyDescent="0.3">
      <c r="A22" s="3" t="s">
        <v>71</v>
      </c>
      <c r="B22" s="3" t="s">
        <v>92</v>
      </c>
      <c r="C22" s="3" t="s">
        <v>5</v>
      </c>
      <c r="D22" s="81">
        <v>1</v>
      </c>
      <c r="E22" s="3" t="s">
        <v>72</v>
      </c>
      <c r="F22" s="3" t="s">
        <v>73</v>
      </c>
      <c r="G22" s="74">
        <f t="shared" si="2"/>
        <v>1</v>
      </c>
      <c r="H22" s="3" t="str">
        <f t="shared" ca="1" si="0"/>
        <v>Wisconsin</v>
      </c>
      <c r="I22" s="3" t="s">
        <v>70</v>
      </c>
      <c r="K22" s="85">
        <f>INDEX(Sheet2!$C$1:$K$70,MATCH(E22,Sheet2!$C$1:$C$70,0),MATCH(C22,Sheet2!$C$1:$K$1,0))/100</f>
        <v>1</v>
      </c>
      <c r="L22" s="85">
        <f>INDEX(Sheet2!$C$1:$K$70,MATCH(F22,Sheet2!$C$1:$C$70,0),MATCH(C22,Sheet2!$C$1:$K$1,0))/100</f>
        <v>0</v>
      </c>
      <c r="M22" s="85"/>
      <c r="N22" s="78" t="str">
        <f t="shared" ref="N22:N29" si="5">IF(D22=1,"3/20/2025",DATEVALUE("3/20/25")+D22-1)</f>
        <v>3/20/2025</v>
      </c>
    </row>
    <row r="23" spans="1:14" x14ac:dyDescent="0.3">
      <c r="A23" s="3" t="s">
        <v>74</v>
      </c>
      <c r="B23" s="3" t="s">
        <v>92</v>
      </c>
      <c r="C23" s="3" t="s">
        <v>5</v>
      </c>
      <c r="D23" s="81">
        <v>2</v>
      </c>
      <c r="E23" s="3" t="s">
        <v>189</v>
      </c>
      <c r="F23" s="3" t="s">
        <v>75</v>
      </c>
      <c r="G23" s="74">
        <f t="shared" si="2"/>
        <v>1</v>
      </c>
      <c r="H23" s="3" t="str">
        <f t="shared" ca="1" si="0"/>
        <v>Saint Mary's</v>
      </c>
      <c r="I23" s="3" t="s">
        <v>76</v>
      </c>
      <c r="K23" s="85">
        <f>INDEX(Sheet2!$C$1:$K$70,MATCH(E23,Sheet2!$C$1:$C$70,0),MATCH(C23,Sheet2!$C$1:$K$1,0))/100</f>
        <v>1</v>
      </c>
      <c r="L23" s="85">
        <f>INDEX(Sheet2!$C$1:$K$70,MATCH(F23,Sheet2!$C$1:$C$70,0),MATCH(C23,Sheet2!$C$1:$K$1,0))/100</f>
        <v>0</v>
      </c>
      <c r="M23" s="85"/>
      <c r="N23" s="78">
        <f t="shared" si="5"/>
        <v>45737</v>
      </c>
    </row>
    <row r="24" spans="1:14" x14ac:dyDescent="0.3">
      <c r="A24" s="3" t="s">
        <v>77</v>
      </c>
      <c r="B24" s="3" t="s">
        <v>92</v>
      </c>
      <c r="C24" s="3" t="s">
        <v>5</v>
      </c>
      <c r="D24" s="81">
        <v>2</v>
      </c>
      <c r="E24" s="3" t="s">
        <v>78</v>
      </c>
      <c r="F24" s="3" t="s">
        <v>79</v>
      </c>
      <c r="G24" s="74">
        <f t="shared" si="2"/>
        <v>1</v>
      </c>
      <c r="H24" s="3" t="str">
        <f t="shared" ca="1" si="0"/>
        <v>Alabama</v>
      </c>
      <c r="I24" s="3" t="s">
        <v>76</v>
      </c>
      <c r="K24" s="85">
        <f>INDEX(Sheet2!$C$1:$K$70,MATCH(E24,Sheet2!$C$1:$C$70,0),MATCH(C24,Sheet2!$C$1:$K$1,0))/100</f>
        <v>1</v>
      </c>
      <c r="L24" s="85">
        <f>INDEX(Sheet2!$C$1:$K$70,MATCH(F24,Sheet2!$C$1:$C$70,0),MATCH(C24,Sheet2!$C$1:$K$1,0))/100</f>
        <v>0</v>
      </c>
      <c r="M24" s="85"/>
      <c r="N24" s="78">
        <f t="shared" si="5"/>
        <v>45737</v>
      </c>
    </row>
    <row r="25" spans="1:14" x14ac:dyDescent="0.3">
      <c r="A25" s="3" t="s">
        <v>80</v>
      </c>
      <c r="B25" s="3" t="s">
        <v>92</v>
      </c>
      <c r="C25" s="3" t="s">
        <v>40</v>
      </c>
      <c r="D25" s="81">
        <v>4</v>
      </c>
      <c r="E25" s="3" t="str">
        <f ca="1">+H17</f>
        <v>Duke</v>
      </c>
      <c r="F25" s="3" t="str">
        <f ca="1">+H18</f>
        <v>Baylor</v>
      </c>
      <c r="G25" s="74">
        <f t="shared" ca="1" si="2"/>
        <v>0.84099999999999997</v>
      </c>
      <c r="H25" s="3" t="str">
        <f t="shared" ca="1" si="0"/>
        <v>Duke</v>
      </c>
      <c r="I25" s="3" t="s">
        <v>81</v>
      </c>
      <c r="K25" s="85">
        <f ca="1">INDEX(Sheet2!$C$1:$K$70,MATCH(E25,Sheet2!$C$1:$C$70,0),MATCH(C25,Sheet2!$C$1:$K$1,0))/INDEX(Sheet2!$C$1:$K$70,MATCH(E25,Sheet2!$C$1:$C$70,0),MATCH(C21,Sheet2!$C$1:$K$1,0))</f>
        <v>0.84099999999999997</v>
      </c>
      <c r="L25" s="85">
        <f ca="1">INDEX(Sheet2!$C$1:$K$70,MATCH(F25,Sheet2!$C$1:$C$70,0),MATCH(C25,Sheet2!$C$1:$K$1,0))/INDEX(Sheet2!$C$1:$K$70,MATCH(F25,Sheet2!$C$1:$C$70,0),MATCH(C21,Sheet2!$C$1:$K$1,0))</f>
        <v>0.159</v>
      </c>
      <c r="M25" s="85"/>
      <c r="N25" s="78">
        <f t="shared" si="5"/>
        <v>45739</v>
      </c>
    </row>
    <row r="26" spans="1:14" x14ac:dyDescent="0.3">
      <c r="A26" s="3" t="s">
        <v>82</v>
      </c>
      <c r="B26" s="3" t="s">
        <v>92</v>
      </c>
      <c r="C26" s="3" t="s">
        <v>40</v>
      </c>
      <c r="D26" s="81">
        <v>4</v>
      </c>
      <c r="E26" s="3" t="str">
        <f ca="1">+H19</f>
        <v>Oregon</v>
      </c>
      <c r="F26" s="3" t="str">
        <f ca="1">+H20</f>
        <v>Arizona</v>
      </c>
      <c r="G26" s="74">
        <f t="shared" ca="1" si="2"/>
        <v>0.314</v>
      </c>
      <c r="H26" s="3" t="str">
        <f t="shared" ca="1" si="0"/>
        <v>Arizona</v>
      </c>
      <c r="I26" s="3" t="s">
        <v>81</v>
      </c>
      <c r="K26" s="85">
        <f ca="1">INDEX(Sheet2!$C$1:$K$70,MATCH(E26,Sheet2!$C$1:$C$70,0),MATCH(C26,Sheet2!$C$1:$K$1,0))/INDEX(Sheet2!$C$1:$K$70,MATCH(E26,Sheet2!$C$1:$C$70,0),MATCH(C22,Sheet2!$C$1:$K$1,0))</f>
        <v>0.314</v>
      </c>
      <c r="L26" s="85">
        <f ca="1">INDEX(Sheet2!$C$1:$K$70,MATCH(F26,Sheet2!$C$1:$C$70,0),MATCH(C26,Sheet2!$C$1:$K$1,0))/INDEX(Sheet2!$C$1:$K$70,MATCH(F26,Sheet2!$C$1:$C$70,0),MATCH(C22,Sheet2!$C$1:$K$1,0))</f>
        <v>0.68599999999999994</v>
      </c>
      <c r="M26" s="85"/>
      <c r="N26" s="78">
        <f t="shared" si="5"/>
        <v>45739</v>
      </c>
    </row>
    <row r="27" spans="1:14" x14ac:dyDescent="0.3">
      <c r="A27" s="3" t="s">
        <v>83</v>
      </c>
      <c r="B27" s="3" t="s">
        <v>92</v>
      </c>
      <c r="C27" s="3" t="s">
        <v>40</v>
      </c>
      <c r="D27" s="81">
        <v>3</v>
      </c>
      <c r="E27" s="3" t="str">
        <f ca="1">+H21</f>
        <v>BYU</v>
      </c>
      <c r="F27" s="3" t="str">
        <f ca="1">+H22</f>
        <v>Wisconsin</v>
      </c>
      <c r="G27" s="74">
        <f t="shared" ca="1" si="2"/>
        <v>0.48700000000000004</v>
      </c>
      <c r="H27" s="3" t="str">
        <f t="shared" ca="1" si="0"/>
        <v>Wisconsin</v>
      </c>
      <c r="I27" s="3" t="s">
        <v>84</v>
      </c>
      <c r="K27" s="85">
        <f ca="1">INDEX(Sheet2!$C$1:$K$70,MATCH(E27,Sheet2!$C$1:$C$70,0),MATCH(C27,Sheet2!$C$1:$K$1,0))/INDEX(Sheet2!$C$1:$K$70,MATCH(E27,Sheet2!$C$1:$C$70,0),MATCH(C23,Sheet2!$C$1:$K$1,0))</f>
        <v>0.48700000000000004</v>
      </c>
      <c r="L27" s="85">
        <f ca="1">INDEX(Sheet2!$C$1:$K$70,MATCH(F27,Sheet2!$C$1:$C$70,0),MATCH(C27,Sheet2!$C$1:$K$1,0))/INDEX(Sheet2!$C$1:$K$70,MATCH(F27,Sheet2!$C$1:$C$70,0),MATCH(C23,Sheet2!$C$1:$K$1,0))</f>
        <v>0.51300000000000001</v>
      </c>
      <c r="M27" s="85"/>
      <c r="N27" s="78">
        <f t="shared" si="5"/>
        <v>45738</v>
      </c>
    </row>
    <row r="28" spans="1:14" x14ac:dyDescent="0.3">
      <c r="A28" s="3" t="s">
        <v>85</v>
      </c>
      <c r="B28" s="3" t="s">
        <v>92</v>
      </c>
      <c r="C28" s="3" t="s">
        <v>40</v>
      </c>
      <c r="D28" s="81">
        <v>4</v>
      </c>
      <c r="E28" s="3" t="str">
        <f ca="1">+H23</f>
        <v>Saint Mary's</v>
      </c>
      <c r="F28" s="3" t="str">
        <f ca="1">+H24</f>
        <v>Alabama</v>
      </c>
      <c r="G28" s="74">
        <f t="shared" ca="1" si="2"/>
        <v>0.32900000000000001</v>
      </c>
      <c r="H28" s="3" t="str">
        <f t="shared" ca="1" si="0"/>
        <v>Alabama</v>
      </c>
      <c r="I28" s="3" t="s">
        <v>84</v>
      </c>
      <c r="K28" s="85">
        <f ca="1">INDEX(Sheet2!$C$1:$K$70,MATCH(E28,Sheet2!$C$1:$C$70,0),MATCH(C28,Sheet2!$C$1:$K$1,0))/INDEX(Sheet2!$C$1:$K$70,MATCH(E28,Sheet2!$C$1:$C$70,0),MATCH(C24,Sheet2!$C$1:$K$1,0))</f>
        <v>0.32899999999999996</v>
      </c>
      <c r="L28" s="85">
        <f ca="1">INDEX(Sheet2!$C$1:$K$70,MATCH(F28,Sheet2!$C$1:$C$70,0),MATCH(C28,Sheet2!$C$1:$K$1,0))/INDEX(Sheet2!$C$1:$K$70,MATCH(F28,Sheet2!$C$1:$C$70,0),MATCH(C24,Sheet2!$C$1:$K$1,0))</f>
        <v>0.67099999999999993</v>
      </c>
      <c r="M28" s="85"/>
      <c r="N28" s="78">
        <f t="shared" si="5"/>
        <v>45739</v>
      </c>
    </row>
    <row r="29" spans="1:14" x14ac:dyDescent="0.3">
      <c r="A29" s="3" t="s">
        <v>86</v>
      </c>
      <c r="B29" s="3" t="s">
        <v>92</v>
      </c>
      <c r="C29" s="3" t="s">
        <v>47</v>
      </c>
      <c r="D29" s="81">
        <v>5</v>
      </c>
      <c r="E29" s="3" t="str">
        <f ca="1">+H25</f>
        <v>Duke</v>
      </c>
      <c r="F29" s="3" t="str">
        <f ca="1">+H26</f>
        <v>Arizona</v>
      </c>
      <c r="G29" s="74">
        <f t="shared" ca="1" si="2"/>
        <v>0.69581695235099861</v>
      </c>
      <c r="H29" s="3" t="str">
        <f t="shared" ca="1" si="0"/>
        <v>Duke</v>
      </c>
      <c r="I29" s="3" t="s">
        <v>87</v>
      </c>
      <c r="K29" s="85">
        <f ca="1">INDEX(Sheet2!$C$1:$K$70,MATCH(E29,Sheet2!$C$1:$C$70,0),MATCH(C29,Sheet2!$C$1:$K$1,0))/INDEX(Sheet2!$C$1:$K$70,MATCH(E29,Sheet2!$C$1:$C$70,0),MATCH(C25,Sheet2!$C$1:$K$1,0))</f>
        <v>0.76694411414982167</v>
      </c>
      <c r="L29" s="85">
        <f ca="1">INDEX(Sheet2!$C$1:$K$70,MATCH(F29,Sheet2!$C$1:$C$70,0),MATCH(C29,Sheet2!$C$1:$K$1,0))/INDEX(Sheet2!$C$1:$K$70,MATCH(F29,Sheet2!$C$1:$C$70,0),MATCH(C25,Sheet2!$C$1:$K$1,0))</f>
        <v>0.3352769679300292</v>
      </c>
      <c r="M29" s="85"/>
      <c r="N29" s="78">
        <f>IF(D29=1,"3/20/2025",DATEVALUE("3/20/25")+D29+2)</f>
        <v>45743</v>
      </c>
    </row>
    <row r="30" spans="1:14" x14ac:dyDescent="0.3">
      <c r="A30" s="3" t="s">
        <v>88</v>
      </c>
      <c r="B30" s="3" t="s">
        <v>92</v>
      </c>
      <c r="C30" s="3" t="s">
        <v>47</v>
      </c>
      <c r="D30" s="81">
        <v>5</v>
      </c>
      <c r="E30" s="3" t="str">
        <f ca="1">+H27</f>
        <v>Wisconsin</v>
      </c>
      <c r="F30" s="3" t="str">
        <f ca="1">+H28</f>
        <v>Alabama</v>
      </c>
      <c r="G30" s="74">
        <f t="shared" ca="1" si="2"/>
        <v>0.45117409744491566</v>
      </c>
      <c r="H30" s="3" t="str">
        <f t="shared" ca="1" si="0"/>
        <v>Alabama</v>
      </c>
      <c r="I30" s="3" t="s">
        <v>87</v>
      </c>
      <c r="K30" s="85">
        <f ca="1">INDEX(Sheet2!$C$1:$K$70,MATCH(E30,Sheet2!$C$1:$C$70,0),MATCH(C30,Sheet2!$C$1:$K$1,0))/INDEX(Sheet2!$C$1:$K$70,MATCH(E30,Sheet2!$C$1:$C$70,0),MATCH(C26,Sheet2!$C$1:$K$1,0))</f>
        <v>0.48148148148148151</v>
      </c>
      <c r="L30" s="85">
        <f ca="1">INDEX(Sheet2!$C$1:$K$70,MATCH(F30,Sheet2!$C$1:$C$70,0),MATCH(C30,Sheet2!$C$1:$K$1,0))/INDEX(Sheet2!$C$1:$K$70,MATCH(F30,Sheet2!$C$1:$C$70,0),MATCH(C26,Sheet2!$C$1:$K$1,0))</f>
        <v>0.58569299552906107</v>
      </c>
      <c r="M30" s="85"/>
      <c r="N30" s="78">
        <f>IF(D30=1,"3/20/2025",DATEVALUE("3/20/25")+D30+2)</f>
        <v>45743</v>
      </c>
    </row>
    <row r="31" spans="1:14" x14ac:dyDescent="0.3">
      <c r="A31" s="3" t="s">
        <v>89</v>
      </c>
      <c r="B31" s="3" t="s">
        <v>92</v>
      </c>
      <c r="C31" s="3" t="s">
        <v>51</v>
      </c>
      <c r="D31" s="81">
        <v>7</v>
      </c>
      <c r="E31" s="3" t="str">
        <f ca="1">+H29</f>
        <v>Duke</v>
      </c>
      <c r="F31" s="3" t="str">
        <f ca="1">+H30</f>
        <v>Alabama</v>
      </c>
      <c r="G31" s="74">
        <f t="shared" ca="1" si="2"/>
        <v>0.63035870516185477</v>
      </c>
      <c r="H31" s="3" t="str">
        <f t="shared" ca="1" si="0"/>
        <v>Duke</v>
      </c>
      <c r="I31" s="3" t="s">
        <v>127</v>
      </c>
      <c r="K31" s="85">
        <f ca="1">INDEX(Sheet2!$C$1:$K$70,MATCH(E31,Sheet2!$C$1:$C$70,0),MATCH(C31,Sheet2!$C$1:$K$1,0))/INDEX(Sheet2!$C$1:$K$70,MATCH(E31,Sheet2!$C$1:$C$70,0),MATCH(C29,Sheet2!$C$1:$K$1,0))</f>
        <v>0.73333333333333328</v>
      </c>
      <c r="L31" s="85">
        <f ca="1">INDEX(Sheet2!$C$1:$K$70,MATCH(F31,Sheet2!$C$1:$C$70,0),MATCH(C31,Sheet2!$C$1:$K$1,0))/INDEX(Sheet2!$C$1:$K$70,MATCH(F31,Sheet2!$C$1:$C$70,0),MATCH(C29,Sheet2!$C$1:$K$1,0))</f>
        <v>0.43002544529262088</v>
      </c>
      <c r="M31" s="85"/>
      <c r="N31" s="78">
        <f>IF(D31=1,"3/20/2025",DATEVALUE("3/20/25")+D31+2)</f>
        <v>45745</v>
      </c>
    </row>
    <row r="32" spans="1:14" x14ac:dyDescent="0.3">
      <c r="A32" s="4" t="s">
        <v>91</v>
      </c>
      <c r="B32" s="4" t="s">
        <v>129</v>
      </c>
      <c r="C32" s="4" t="s">
        <v>5</v>
      </c>
      <c r="D32" s="82">
        <v>2</v>
      </c>
      <c r="E32" s="4" t="s">
        <v>93</v>
      </c>
      <c r="F32" s="4" t="s">
        <v>94</v>
      </c>
      <c r="G32" s="75">
        <f t="shared" si="2"/>
        <v>1</v>
      </c>
      <c r="H32" s="4" t="str">
        <f t="shared" ca="1" si="0"/>
        <v>Florida</v>
      </c>
      <c r="I32" s="4" t="s">
        <v>95</v>
      </c>
      <c r="K32" s="85">
        <f>INDEX(Sheet2!$C$1:$K$70,MATCH(E32,Sheet2!$C$1:$C$70,0),MATCH(C32,Sheet2!$C$1:$K$1,0))/100</f>
        <v>1</v>
      </c>
      <c r="L32" s="85">
        <f>INDEX(Sheet2!$C$1:$K$70,MATCH(F32,Sheet2!$C$1:$C$70,0),MATCH(C32,Sheet2!$C$1:$K$1,0))/100</f>
        <v>0</v>
      </c>
      <c r="M32" s="85"/>
      <c r="N32" s="78">
        <f t="shared" ref="N32:N36" si="6">IF(D32=1,"3/20/2025",DATEVALUE("3/20/25")+D32-1)</f>
        <v>45737</v>
      </c>
    </row>
    <row r="33" spans="1:14" x14ac:dyDescent="0.3">
      <c r="A33" s="4" t="s">
        <v>96</v>
      </c>
      <c r="B33" s="4" t="s">
        <v>129</v>
      </c>
      <c r="C33" s="4" t="s">
        <v>5</v>
      </c>
      <c r="D33" s="82">
        <v>2</v>
      </c>
      <c r="E33" s="4" t="s">
        <v>191</v>
      </c>
      <c r="F33" s="4" t="s">
        <v>97</v>
      </c>
      <c r="G33" s="75">
        <f t="shared" si="2"/>
        <v>1</v>
      </c>
      <c r="H33" s="4" t="str">
        <f t="shared" ca="1" si="0"/>
        <v>Connecticut</v>
      </c>
      <c r="I33" s="4" t="s">
        <v>95</v>
      </c>
      <c r="K33" s="85">
        <f>INDEX(Sheet2!$C$1:$K$70,MATCH(E33,Sheet2!$C$1:$C$70,0),MATCH(C33,Sheet2!$C$1:$K$1,0))/100</f>
        <v>1</v>
      </c>
      <c r="L33" s="85">
        <f>INDEX(Sheet2!$C$1:$K$70,MATCH(F33,Sheet2!$C$1:$C$70,0),MATCH(C33,Sheet2!$C$1:$K$1,0))/100</f>
        <v>0</v>
      </c>
      <c r="M33" s="85"/>
      <c r="N33" s="78">
        <f t="shared" si="6"/>
        <v>45737</v>
      </c>
    </row>
    <row r="34" spans="1:14" x14ac:dyDescent="0.3">
      <c r="A34" s="4" t="s">
        <v>98</v>
      </c>
      <c r="B34" s="4" t="s">
        <v>129</v>
      </c>
      <c r="C34" s="4" t="s">
        <v>5</v>
      </c>
      <c r="D34" s="82">
        <v>2</v>
      </c>
      <c r="E34" s="4" t="s">
        <v>99</v>
      </c>
      <c r="F34" s="4" t="s">
        <v>100</v>
      </c>
      <c r="G34" s="75">
        <f t="shared" si="2"/>
        <v>0</v>
      </c>
      <c r="H34" s="4" t="str">
        <f t="shared" ca="1" si="0"/>
        <v>Colorado St.</v>
      </c>
      <c r="I34" s="4" t="s">
        <v>101</v>
      </c>
      <c r="K34" s="85">
        <f>INDEX(Sheet2!$C$1:$K$70,MATCH(E34,Sheet2!$C$1:$C$70,0),MATCH(C34,Sheet2!$C$1:$K$1,0))/100</f>
        <v>0</v>
      </c>
      <c r="L34" s="85">
        <f>INDEX(Sheet2!$C$1:$K$70,MATCH(F34,Sheet2!$C$1:$C$70,0),MATCH(C34,Sheet2!$C$1:$K$1,0))/100</f>
        <v>1</v>
      </c>
      <c r="M34" s="85"/>
      <c r="N34" s="78">
        <f t="shared" si="6"/>
        <v>45737</v>
      </c>
    </row>
    <row r="35" spans="1:14" x14ac:dyDescent="0.3">
      <c r="A35" s="4" t="s">
        <v>102</v>
      </c>
      <c r="B35" s="4" t="s">
        <v>129</v>
      </c>
      <c r="C35" s="4" t="s">
        <v>5</v>
      </c>
      <c r="D35" s="82">
        <v>2</v>
      </c>
      <c r="E35" s="4" t="s">
        <v>103</v>
      </c>
      <c r="F35" s="4" t="s">
        <v>104</v>
      </c>
      <c r="G35" s="75">
        <f t="shared" si="2"/>
        <v>1</v>
      </c>
      <c r="H35" s="4" t="str">
        <f t="shared" ca="1" si="0"/>
        <v>Maryland</v>
      </c>
      <c r="I35" s="4" t="s">
        <v>101</v>
      </c>
      <c r="K35" s="85">
        <f>INDEX(Sheet2!$C$1:$K$70,MATCH(E35,Sheet2!$C$1:$C$70,0),MATCH(C35,Sheet2!$C$1:$K$1,0))/100</f>
        <v>1</v>
      </c>
      <c r="L35" s="85">
        <f>INDEX(Sheet2!$C$1:$K$70,MATCH(F35,Sheet2!$C$1:$C$70,0),MATCH(C35,Sheet2!$C$1:$K$1,0))/100</f>
        <v>0</v>
      </c>
      <c r="M35" s="85"/>
      <c r="N35" s="78">
        <f t="shared" si="6"/>
        <v>45737</v>
      </c>
    </row>
    <row r="36" spans="1:14" x14ac:dyDescent="0.3">
      <c r="A36" s="4" t="s">
        <v>105</v>
      </c>
      <c r="B36" s="4" t="s">
        <v>129</v>
      </c>
      <c r="C36" s="4" t="s">
        <v>5</v>
      </c>
      <c r="D36" s="82">
        <v>1</v>
      </c>
      <c r="E36" s="4" t="s">
        <v>106</v>
      </c>
      <c r="F36" s="4" t="s">
        <v>107</v>
      </c>
      <c r="G36" s="75">
        <f t="shared" si="2"/>
        <v>0</v>
      </c>
      <c r="H36" s="4" t="str">
        <f t="shared" ca="1" si="0"/>
        <v>Drake</v>
      </c>
      <c r="I36" s="4" t="s">
        <v>108</v>
      </c>
      <c r="K36" s="85">
        <f>INDEX(Sheet2!$C$1:$K$70,MATCH(E36,Sheet2!$C$1:$C$70,0),MATCH(C36,Sheet2!$C$1:$K$1,0))/100</f>
        <v>0</v>
      </c>
      <c r="L36" s="85">
        <f>INDEX(Sheet2!$C$1:$K$70,MATCH(F36,Sheet2!$C$1:$C$70,0),MATCH(C36,Sheet2!$C$1:$K$1,0))/100</f>
        <v>1</v>
      </c>
      <c r="M36" s="85"/>
      <c r="N36" s="78" t="str">
        <f>IF(D36=1,"3/20/2025",DATEVALUE("3/20/25")+D36-1)</f>
        <v>3/20/2025</v>
      </c>
    </row>
    <row r="37" spans="1:14" x14ac:dyDescent="0.3">
      <c r="A37" s="4" t="s">
        <v>109</v>
      </c>
      <c r="B37" s="4" t="s">
        <v>129</v>
      </c>
      <c r="C37" s="4" t="s">
        <v>5</v>
      </c>
      <c r="D37" s="82">
        <v>1</v>
      </c>
      <c r="E37" s="4" t="s">
        <v>110</v>
      </c>
      <c r="F37" s="4" t="s">
        <v>111</v>
      </c>
      <c r="G37" s="75">
        <f t="shared" si="2"/>
        <v>1</v>
      </c>
      <c r="H37" s="4" t="str">
        <f t="shared" ca="1" si="0"/>
        <v>Texas Tech</v>
      </c>
      <c r="I37" s="4" t="s">
        <v>108</v>
      </c>
      <c r="K37" s="85">
        <f>INDEX(Sheet2!$C$1:$K$70,MATCH(E37,Sheet2!$C$1:$C$70,0),MATCH(C37,Sheet2!$C$1:$K$1,0))/100</f>
        <v>1</v>
      </c>
      <c r="L37" s="85">
        <f>INDEX(Sheet2!$C$1:$K$70,MATCH(F37,Sheet2!$C$1:$C$70,0),MATCH(C37,Sheet2!$C$1:$K$1,0))/100</f>
        <v>0</v>
      </c>
      <c r="M37" s="85"/>
      <c r="N37" s="78" t="str">
        <f t="shared" ref="N37:N44" si="7">IF(D37=1,"3/20/2025",DATEVALUE("3/20/25")+D37-1)</f>
        <v>3/20/2025</v>
      </c>
    </row>
    <row r="38" spans="1:14" x14ac:dyDescent="0.3">
      <c r="A38" s="4" t="s">
        <v>112</v>
      </c>
      <c r="B38" s="4" t="s">
        <v>129</v>
      </c>
      <c r="C38" s="4" t="s">
        <v>5</v>
      </c>
      <c r="D38" s="82">
        <v>1</v>
      </c>
      <c r="E38" s="4" t="s">
        <v>113</v>
      </c>
      <c r="F38" s="4" t="s">
        <v>114</v>
      </c>
      <c r="G38" s="75">
        <f t="shared" si="2"/>
        <v>0</v>
      </c>
      <c r="H38" s="4" t="str">
        <f t="shared" ca="1" si="0"/>
        <v>Arkansas</v>
      </c>
      <c r="I38" s="4" t="s">
        <v>115</v>
      </c>
      <c r="K38" s="85">
        <f>INDEX(Sheet2!$C$1:$K$70,MATCH(E38,Sheet2!$C$1:$C$70,0),MATCH(C38,Sheet2!$C$1:$K$1,0))/100</f>
        <v>0</v>
      </c>
      <c r="L38" s="85">
        <f>INDEX(Sheet2!$C$1:$K$70,MATCH(F38,Sheet2!$C$1:$C$70,0),MATCH(C38,Sheet2!$C$1:$K$1,0))/100</f>
        <v>1</v>
      </c>
      <c r="M38" s="85"/>
      <c r="N38" s="78" t="str">
        <f t="shared" si="7"/>
        <v>3/20/2025</v>
      </c>
    </row>
    <row r="39" spans="1:14" ht="28.8" x14ac:dyDescent="0.3">
      <c r="A39" s="4" t="s">
        <v>116</v>
      </c>
      <c r="B39" s="4" t="s">
        <v>129</v>
      </c>
      <c r="C39" s="4" t="s">
        <v>5</v>
      </c>
      <c r="D39" s="82">
        <v>1</v>
      </c>
      <c r="E39" s="4" t="s">
        <v>186</v>
      </c>
      <c r="F39" s="4" t="s">
        <v>207</v>
      </c>
      <c r="G39" s="75">
        <f t="shared" si="2"/>
        <v>1</v>
      </c>
      <c r="H39" s="4" t="str">
        <f t="shared" ca="1" si="0"/>
        <v>St. John's</v>
      </c>
      <c r="I39" s="4" t="s">
        <v>115</v>
      </c>
      <c r="K39" s="85">
        <f>INDEX(Sheet2!$C$1:$K$70,MATCH(E39,Sheet2!$C$1:$C$70,0),MATCH(C39,Sheet2!$C$1:$K$1,0))/100</f>
        <v>1</v>
      </c>
      <c r="L39" s="85">
        <f>INDEX(Sheet2!$C$1:$K$70,MATCH(F39,Sheet2!$C$1:$C$70,0),MATCH(C39,Sheet2!$C$1:$K$1,0))/100</f>
        <v>0</v>
      </c>
      <c r="M39" s="85"/>
      <c r="N39" s="78" t="str">
        <f t="shared" si="7"/>
        <v>3/20/2025</v>
      </c>
    </row>
    <row r="40" spans="1:14" x14ac:dyDescent="0.3">
      <c r="A40" s="4" t="s">
        <v>117</v>
      </c>
      <c r="B40" s="4" t="s">
        <v>129</v>
      </c>
      <c r="C40" s="4" t="s">
        <v>40</v>
      </c>
      <c r="D40" s="82">
        <v>4</v>
      </c>
      <c r="E40" s="4" t="str">
        <f ca="1">+H32</f>
        <v>Florida</v>
      </c>
      <c r="F40" s="4" t="str">
        <f ca="1">+H33</f>
        <v>Connecticut</v>
      </c>
      <c r="G40" s="75">
        <f t="shared" ca="1" si="2"/>
        <v>0.80600000000000005</v>
      </c>
      <c r="H40" s="4" t="str">
        <f t="shared" ca="1" si="0"/>
        <v>Florida</v>
      </c>
      <c r="I40" s="4" t="s">
        <v>118</v>
      </c>
      <c r="K40" s="85">
        <f ca="1">INDEX(Sheet2!$C$1:$K$70,MATCH(E40,Sheet2!$C$1:$C$70,0),MATCH(C40,Sheet2!$C$1:$K$1,0))/INDEX(Sheet2!$C$1:$K$70,MATCH(E40,Sheet2!$C$1:$C$70,0),MATCH(C36,Sheet2!$C$1:$K$1,0))</f>
        <v>0.80599999999999994</v>
      </c>
      <c r="L40" s="85">
        <f ca="1">INDEX(Sheet2!$C$1:$K$70,MATCH(F40,Sheet2!$C$1:$C$70,0),MATCH(C40,Sheet2!$C$1:$K$1,0))/INDEX(Sheet2!$C$1:$K$70,MATCH(F40,Sheet2!$C$1:$C$70,0),MATCH(C36,Sheet2!$C$1:$K$1,0))</f>
        <v>0.19399999999999998</v>
      </c>
      <c r="M40" s="85"/>
      <c r="N40" s="78">
        <f t="shared" si="7"/>
        <v>45739</v>
      </c>
    </row>
    <row r="41" spans="1:14" x14ac:dyDescent="0.3">
      <c r="A41" s="4" t="s">
        <v>119</v>
      </c>
      <c r="B41" s="4" t="s">
        <v>129</v>
      </c>
      <c r="C41" s="4" t="s">
        <v>40</v>
      </c>
      <c r="D41" s="82">
        <v>4</v>
      </c>
      <c r="E41" s="4" t="str">
        <f ca="1">+H34</f>
        <v>Colorado St.</v>
      </c>
      <c r="F41" s="4" t="str">
        <f ca="1">+H35</f>
        <v>Maryland</v>
      </c>
      <c r="G41" s="75">
        <f t="shared" ca="1" si="2"/>
        <v>0.24724724724724725</v>
      </c>
      <c r="H41" s="4" t="str">
        <f t="shared" ca="1" si="0"/>
        <v>Maryland</v>
      </c>
      <c r="I41" s="4" t="s">
        <v>118</v>
      </c>
      <c r="K41" s="85">
        <f ca="1">INDEX(Sheet2!$C$1:$K$70,MATCH(E41,Sheet2!$C$1:$C$70,0),MATCH(C41,Sheet2!$C$1:$K$1,0))/INDEX(Sheet2!$C$1:$K$70,MATCH(E41,Sheet2!$C$1:$C$70,0),MATCH(C37,Sheet2!$C$1:$K$1,0))</f>
        <v>0.247</v>
      </c>
      <c r="L41" s="85">
        <f ca="1">INDEX(Sheet2!$C$1:$K$70,MATCH(F41,Sheet2!$C$1:$C$70,0),MATCH(C41,Sheet2!$C$1:$K$1,0))/INDEX(Sheet2!$C$1:$K$70,MATCH(F41,Sheet2!$C$1:$C$70,0),MATCH(C37,Sheet2!$C$1:$K$1,0))</f>
        <v>0.752</v>
      </c>
      <c r="M41" s="85"/>
      <c r="N41" s="78">
        <f t="shared" si="7"/>
        <v>45739</v>
      </c>
    </row>
    <row r="42" spans="1:14" x14ac:dyDescent="0.3">
      <c r="A42" s="4" t="s">
        <v>120</v>
      </c>
      <c r="B42" s="4" t="s">
        <v>129</v>
      </c>
      <c r="C42" s="4" t="s">
        <v>40</v>
      </c>
      <c r="D42" s="82">
        <v>3</v>
      </c>
      <c r="E42" s="4" t="str">
        <f ca="1">+H36</f>
        <v>Drake</v>
      </c>
      <c r="F42" s="4" t="str">
        <f ca="1">+H37</f>
        <v>Texas Tech</v>
      </c>
      <c r="G42" s="75">
        <f t="shared" ca="1" si="2"/>
        <v>0.20100000000000001</v>
      </c>
      <c r="H42" s="4" t="str">
        <f t="shared" ca="1" si="0"/>
        <v>Texas Tech</v>
      </c>
      <c r="I42" s="4" t="s">
        <v>121</v>
      </c>
      <c r="K42" s="85">
        <f ca="1">INDEX(Sheet2!$C$1:$K$70,MATCH(E42,Sheet2!$C$1:$C$70,0),MATCH(C42,Sheet2!$C$1:$K$1,0))/INDEX(Sheet2!$C$1:$K$70,MATCH(E42,Sheet2!$C$1:$C$70,0),MATCH(C38,Sheet2!$C$1:$K$1,0))</f>
        <v>0.20100000000000001</v>
      </c>
      <c r="L42" s="85">
        <f ca="1">INDEX(Sheet2!$C$1:$K$70,MATCH(F42,Sheet2!$C$1:$C$70,0),MATCH(C42,Sheet2!$C$1:$K$1,0))/INDEX(Sheet2!$C$1:$K$70,MATCH(F42,Sheet2!$C$1:$C$70,0),MATCH(C38,Sheet2!$C$1:$K$1,0))</f>
        <v>0.79900000000000004</v>
      </c>
      <c r="M42" s="85"/>
      <c r="N42" s="78">
        <f t="shared" si="7"/>
        <v>45738</v>
      </c>
    </row>
    <row r="43" spans="1:14" x14ac:dyDescent="0.3">
      <c r="A43" s="4" t="s">
        <v>122</v>
      </c>
      <c r="B43" s="4" t="s">
        <v>129</v>
      </c>
      <c r="C43" s="4" t="s">
        <v>40</v>
      </c>
      <c r="D43" s="82">
        <v>3</v>
      </c>
      <c r="E43" s="4" t="str">
        <f ca="1">+H38</f>
        <v>Arkansas</v>
      </c>
      <c r="F43" s="4" t="str">
        <f ca="1">+H39</f>
        <v>St. John's</v>
      </c>
      <c r="G43" s="75">
        <f t="shared" ca="1" si="2"/>
        <v>0.29199999999999998</v>
      </c>
      <c r="H43" s="4" t="str">
        <f t="shared" ca="1" si="0"/>
        <v>St. John's</v>
      </c>
      <c r="I43" s="4" t="s">
        <v>121</v>
      </c>
      <c r="K43" s="85">
        <f ca="1">INDEX(Sheet2!$C$1:$K$70,MATCH(E43,Sheet2!$C$1:$C$70,0),MATCH(C43,Sheet2!$C$1:$K$1,0))/INDEX(Sheet2!$C$1:$K$70,MATCH(E43,Sheet2!$C$1:$C$70,0),MATCH(C39,Sheet2!$C$1:$K$1,0))</f>
        <v>0.29199999999999998</v>
      </c>
      <c r="L43" s="85">
        <f ca="1">INDEX(Sheet2!$C$1:$K$70,MATCH(F43,Sheet2!$C$1:$C$70,0),MATCH(C43,Sheet2!$C$1:$K$1,0))/INDEX(Sheet2!$C$1:$K$70,MATCH(F43,Sheet2!$C$1:$C$70,0),MATCH(C39,Sheet2!$C$1:$K$1,0))</f>
        <v>0.70799999999999996</v>
      </c>
      <c r="M43" s="85"/>
      <c r="N43" s="78">
        <f t="shared" si="7"/>
        <v>45738</v>
      </c>
    </row>
    <row r="44" spans="1:14" x14ac:dyDescent="0.3">
      <c r="A44" s="4" t="s">
        <v>123</v>
      </c>
      <c r="B44" s="4" t="s">
        <v>129</v>
      </c>
      <c r="C44" s="4" t="s">
        <v>47</v>
      </c>
      <c r="D44" s="82">
        <v>5</v>
      </c>
      <c r="E44" s="4" t="str">
        <f ca="1">+H40</f>
        <v>Florida</v>
      </c>
      <c r="F44" s="4" t="str">
        <f ca="1">+H41</f>
        <v>Maryland</v>
      </c>
      <c r="G44" s="75">
        <f t="shared" ca="1" si="2"/>
        <v>0.59920141891273748</v>
      </c>
      <c r="H44" s="4" t="str">
        <f t="shared" ca="1" si="0"/>
        <v>Florida</v>
      </c>
      <c r="I44" s="4" t="s">
        <v>124</v>
      </c>
      <c r="K44" s="85">
        <f ca="1">INDEX(Sheet2!$C$1:$K$70,MATCH(E44,Sheet2!$C$1:$C$70,0),MATCH(C44,Sheet2!$C$1:$K$1,0))/INDEX(Sheet2!$C$1:$K$70,MATCH(E44,Sheet2!$C$1:$C$70,0),MATCH(C40,Sheet2!$C$1:$K$1,0))</f>
        <v>0.66997518610421836</v>
      </c>
      <c r="L44" s="85">
        <f ca="1">INDEX(Sheet2!$C$1:$K$70,MATCH(F44,Sheet2!$C$1:$C$70,0),MATCH(C44,Sheet2!$C$1:$K$1,0))/INDEX(Sheet2!$C$1:$K$70,MATCH(F44,Sheet2!$C$1:$C$70,0),MATCH(C40,Sheet2!$C$1:$K$1,0))</f>
        <v>0.44813829787234044</v>
      </c>
      <c r="M44" s="85"/>
      <c r="N44" s="78">
        <f>IF(D44=1,"3/20/2025",DATEVALUE("3/20/25")+D44+2)</f>
        <v>45743</v>
      </c>
    </row>
    <row r="45" spans="1:14" x14ac:dyDescent="0.3">
      <c r="A45" s="4" t="s">
        <v>125</v>
      </c>
      <c r="B45" s="4" t="s">
        <v>129</v>
      </c>
      <c r="C45" s="4" t="s">
        <v>47</v>
      </c>
      <c r="D45" s="82">
        <v>5</v>
      </c>
      <c r="E45" s="4" t="str">
        <f ca="1">+H42</f>
        <v>Texas Tech</v>
      </c>
      <c r="F45" s="4" t="str">
        <f ca="1">+H43</f>
        <v>St. John's</v>
      </c>
      <c r="G45" s="75">
        <f t="shared" ca="1" si="2"/>
        <v>0.56417286046985948</v>
      </c>
      <c r="H45" s="4" t="str">
        <f t="shared" ca="1" si="0"/>
        <v>St. John's</v>
      </c>
      <c r="I45" s="4" t="s">
        <v>124</v>
      </c>
      <c r="K45" s="85">
        <f ca="1">INDEX(Sheet2!$C$1:$K$70,MATCH(E45,Sheet2!$C$1:$C$70,0),MATCH(C45,Sheet2!$C$1:$K$1,0))/INDEX(Sheet2!$C$1:$K$70,MATCH(E45,Sheet2!$C$1:$C$70,0),MATCH(C41,Sheet2!$C$1:$K$1,0))</f>
        <v>0.63078848560700873</v>
      </c>
      <c r="L45" s="85">
        <f ca="1">INDEX(Sheet2!$C$1:$K$70,MATCH(F45,Sheet2!$C$1:$C$70,0),MATCH(C45,Sheet2!$C$1:$K$1,0))/INDEX(Sheet2!$C$1:$K$70,MATCH(F45,Sheet2!$C$1:$C$70,0),MATCH(C41,Sheet2!$C$1:$K$1,0))</f>
        <v>0.48728813559322037</v>
      </c>
      <c r="M45" s="85"/>
      <c r="N45" s="78">
        <f>IF(D45=1,"3/20/2025",DATEVALUE("3/20/25")+D45+2)</f>
        <v>45743</v>
      </c>
    </row>
    <row r="46" spans="1:14" x14ac:dyDescent="0.3">
      <c r="A46" s="4" t="s">
        <v>126</v>
      </c>
      <c r="B46" s="4" t="s">
        <v>129</v>
      </c>
      <c r="C46" s="4" t="s">
        <v>51</v>
      </c>
      <c r="D46" s="82">
        <v>7</v>
      </c>
      <c r="E46" s="4" t="str">
        <f ca="1">+H44</f>
        <v>Florida</v>
      </c>
      <c r="F46" s="4" t="str">
        <f ca="1">+H45</f>
        <v>St. John's</v>
      </c>
      <c r="G46" s="75">
        <f t="shared" ca="1" si="2"/>
        <v>0.62992421400165077</v>
      </c>
      <c r="H46" s="4" t="str">
        <f t="shared" ca="1" si="0"/>
        <v>St. John's</v>
      </c>
      <c r="I46" s="4" t="s">
        <v>165</v>
      </c>
      <c r="K46" s="85">
        <f ca="1">INDEX(Sheet2!$C$1:$K$70,MATCH(E46,Sheet2!$C$1:$C$70,0),MATCH(C46,Sheet2!$C$1:$K$1,0))/INDEX(Sheet2!$C$1:$K$70,MATCH(E46,Sheet2!$C$1:$C$70,0),MATCH(C44,Sheet2!$C$1:$K$1,0))</f>
        <v>0.67592592592592593</v>
      </c>
      <c r="L46" s="85">
        <f ca="1">INDEX(Sheet2!$C$1:$K$70,MATCH(F46,Sheet2!$C$1:$C$70,0),MATCH(C46,Sheet2!$C$1:$K$1,0))/INDEX(Sheet2!$C$1:$K$70,MATCH(F46,Sheet2!$C$1:$C$70,0),MATCH(C44,Sheet2!$C$1:$K$1,0))</f>
        <v>0.39710144927536228</v>
      </c>
      <c r="M46" s="85"/>
      <c r="N46" s="78">
        <f>IF(D46=1,"3/20/2025",DATEVALUE("3/20/25")+D46+2)</f>
        <v>45745</v>
      </c>
    </row>
    <row r="47" spans="1:14" x14ac:dyDescent="0.3">
      <c r="A47" s="5" t="s">
        <v>128</v>
      </c>
      <c r="B47" s="5" t="s">
        <v>11</v>
      </c>
      <c r="C47" s="5" t="s">
        <v>5</v>
      </c>
      <c r="D47" s="83">
        <v>1</v>
      </c>
      <c r="E47" s="5" t="s">
        <v>130</v>
      </c>
      <c r="F47" s="5" t="s">
        <v>131</v>
      </c>
      <c r="G47" s="76">
        <f t="shared" si="2"/>
        <v>1</v>
      </c>
      <c r="H47" s="5" t="str">
        <f t="shared" ca="1" si="0"/>
        <v>Houston</v>
      </c>
      <c r="I47" s="5" t="s">
        <v>132</v>
      </c>
      <c r="K47" s="85">
        <f>INDEX(Sheet2!$C$1:$K$70,MATCH(E47,Sheet2!$C$1:$C$70,0),MATCH(C47,Sheet2!$C$1:$K$1,0))/100</f>
        <v>1</v>
      </c>
      <c r="L47" s="85">
        <f>INDEX(Sheet2!$C$1:$K$70,MATCH(F47,Sheet2!$C$1:$C$70,0),MATCH(C47,Sheet2!$C$1:$K$1,0))/100</f>
        <v>0</v>
      </c>
      <c r="M47" s="85"/>
      <c r="N47" s="78" t="str">
        <f t="shared" ref="N47:N51" si="8">IF(D47=1,"3/20/2025",DATEVALUE("3/20/25")+D47-1)</f>
        <v>3/20/2025</v>
      </c>
    </row>
    <row r="48" spans="1:14" x14ac:dyDescent="0.3">
      <c r="A48" s="5" t="s">
        <v>133</v>
      </c>
      <c r="B48" s="5" t="s">
        <v>11</v>
      </c>
      <c r="C48" s="5" t="s">
        <v>5</v>
      </c>
      <c r="D48" s="83">
        <v>1</v>
      </c>
      <c r="E48" s="5" t="s">
        <v>6</v>
      </c>
      <c r="F48" s="5" t="s">
        <v>134</v>
      </c>
      <c r="G48" s="76">
        <f t="shared" si="2"/>
        <v>1</v>
      </c>
      <c r="H48" s="5" t="str">
        <f t="shared" ca="1" si="0"/>
        <v>Gonzaga</v>
      </c>
      <c r="I48" s="5" t="s">
        <v>132</v>
      </c>
      <c r="K48" s="85">
        <f>INDEX(Sheet2!$C$1:$K$70,MATCH(E48,Sheet2!$C$1:$C$70,0),MATCH(C48,Sheet2!$C$1:$K$1,0))/100</f>
        <v>1</v>
      </c>
      <c r="L48" s="85">
        <f>INDEX(Sheet2!$C$1:$K$70,MATCH(F48,Sheet2!$C$1:$C$70,0),MATCH(C48,Sheet2!$C$1:$K$1,0))/100</f>
        <v>0</v>
      </c>
      <c r="M48" s="85"/>
      <c r="N48" s="78" t="str">
        <f t="shared" si="8"/>
        <v>3/20/2025</v>
      </c>
    </row>
    <row r="49" spans="1:14" x14ac:dyDescent="0.3">
      <c r="A49" s="5" t="s">
        <v>135</v>
      </c>
      <c r="B49" s="5" t="s">
        <v>11</v>
      </c>
      <c r="C49" s="5" t="s">
        <v>5</v>
      </c>
      <c r="D49" s="83">
        <v>1</v>
      </c>
      <c r="E49" s="5" t="s">
        <v>136</v>
      </c>
      <c r="F49" s="5" t="s">
        <v>194</v>
      </c>
      <c r="G49" s="76">
        <f t="shared" si="2"/>
        <v>0</v>
      </c>
      <c r="H49" s="5" t="str">
        <f t="shared" ca="1" si="0"/>
        <v>McNeese St.</v>
      </c>
      <c r="I49" s="5" t="s">
        <v>137</v>
      </c>
      <c r="K49" s="85">
        <f>INDEX(Sheet2!$C$1:$K$70,MATCH(E49,Sheet2!$C$1:$C$70,0),MATCH(C49,Sheet2!$C$1:$K$1,0))/100</f>
        <v>0</v>
      </c>
      <c r="L49" s="85">
        <f>INDEX(Sheet2!$C$1:$K$70,MATCH(F49,Sheet2!$C$1:$C$70,0),MATCH(C49,Sheet2!$C$1:$K$1,0))/100</f>
        <v>1</v>
      </c>
      <c r="M49" s="85"/>
      <c r="N49" s="78" t="str">
        <f t="shared" si="8"/>
        <v>3/20/2025</v>
      </c>
    </row>
    <row r="50" spans="1:14" x14ac:dyDescent="0.3">
      <c r="A50" s="5" t="s">
        <v>138</v>
      </c>
      <c r="B50" s="5" t="s">
        <v>11</v>
      </c>
      <c r="C50" s="5" t="s">
        <v>5</v>
      </c>
      <c r="D50" s="83">
        <v>1</v>
      </c>
      <c r="E50" s="5" t="s">
        <v>139</v>
      </c>
      <c r="F50" s="5" t="s">
        <v>140</v>
      </c>
      <c r="G50" s="76">
        <f t="shared" si="2"/>
        <v>1</v>
      </c>
      <c r="H50" s="5" t="str">
        <f t="shared" ca="1" si="0"/>
        <v>Purdue</v>
      </c>
      <c r="I50" s="5" t="s">
        <v>137</v>
      </c>
      <c r="K50" s="85">
        <f>INDEX(Sheet2!$C$1:$K$70,MATCH(E50,Sheet2!$C$1:$C$70,0),MATCH(C50,Sheet2!$C$1:$K$1,0))/100</f>
        <v>1</v>
      </c>
      <c r="L50" s="85">
        <f>INDEX(Sheet2!$C$1:$K$70,MATCH(F50,Sheet2!$C$1:$C$70,0),MATCH(C50,Sheet2!$C$1:$K$1,0))/100</f>
        <v>0</v>
      </c>
      <c r="M50" s="85"/>
      <c r="N50" s="78" t="str">
        <f t="shared" si="8"/>
        <v>3/20/2025</v>
      </c>
    </row>
    <row r="51" spans="1:14" x14ac:dyDescent="0.3">
      <c r="A51" s="5" t="s">
        <v>141</v>
      </c>
      <c r="B51" s="5" t="s">
        <v>11</v>
      </c>
      <c r="C51" s="5" t="s">
        <v>5</v>
      </c>
      <c r="D51" s="83">
        <v>2</v>
      </c>
      <c r="E51" s="5" t="s">
        <v>142</v>
      </c>
      <c r="F51" s="5" t="s">
        <v>143</v>
      </c>
      <c r="G51" s="76">
        <f t="shared" si="2"/>
        <v>1</v>
      </c>
      <c r="H51" s="5" t="str">
        <f t="shared" ca="1" si="0"/>
        <v>Illinois</v>
      </c>
      <c r="I51" s="5" t="s">
        <v>144</v>
      </c>
      <c r="K51" s="85">
        <f>INDEX(Sheet2!$C$1:$K$70,MATCH(E51,Sheet2!$C$1:$C$70,0),MATCH(C51,Sheet2!$C$1:$K$1,0))/100</f>
        <v>1</v>
      </c>
      <c r="L51" s="85">
        <f>INDEX(Sheet2!$C$1:$K$70,MATCH(F51,Sheet2!$C$1:$C$70,0),MATCH(C51,Sheet2!$C$1:$K$1,0))/100</f>
        <v>0</v>
      </c>
      <c r="M51" s="85"/>
      <c r="N51" s="78">
        <f>IF(D51=1,"3/20/2025",DATEVALUE("3/20/25")+D51-1)</f>
        <v>45737</v>
      </c>
    </row>
    <row r="52" spans="1:14" x14ac:dyDescent="0.3">
      <c r="A52" s="5" t="s">
        <v>145</v>
      </c>
      <c r="B52" s="5" t="s">
        <v>11</v>
      </c>
      <c r="C52" s="5" t="s">
        <v>5</v>
      </c>
      <c r="D52" s="83">
        <v>2</v>
      </c>
      <c r="E52" s="5" t="s">
        <v>146</v>
      </c>
      <c r="F52" s="5" t="s">
        <v>147</v>
      </c>
      <c r="G52" s="76">
        <f t="shared" si="2"/>
        <v>1</v>
      </c>
      <c r="H52" s="5" t="str">
        <f t="shared" ca="1" si="0"/>
        <v>Kentucky</v>
      </c>
      <c r="I52" s="5" t="s">
        <v>144</v>
      </c>
      <c r="K52" s="85">
        <f>INDEX(Sheet2!$C$1:$K$70,MATCH(E52,Sheet2!$C$1:$C$70,0),MATCH(C52,Sheet2!$C$1:$K$1,0))/100</f>
        <v>1</v>
      </c>
      <c r="L52" s="85">
        <f>INDEX(Sheet2!$C$1:$K$70,MATCH(F52,Sheet2!$C$1:$C$70,0),MATCH(C52,Sheet2!$C$1:$K$1,0))/100</f>
        <v>0</v>
      </c>
      <c r="M52" s="85"/>
      <c r="N52" s="78">
        <f t="shared" ref="N52:N59" si="9">IF(D52=1,"3/20/2025",DATEVALUE("3/20/25")+D52-1)</f>
        <v>45737</v>
      </c>
    </row>
    <row r="53" spans="1:14" x14ac:dyDescent="0.3">
      <c r="A53" s="5" t="s">
        <v>148</v>
      </c>
      <c r="B53" s="5" t="s">
        <v>11</v>
      </c>
      <c r="C53" s="5" t="s">
        <v>5</v>
      </c>
      <c r="D53" s="83">
        <v>1</v>
      </c>
      <c r="E53" s="5" t="s">
        <v>149</v>
      </c>
      <c r="F53" s="5" t="s">
        <v>150</v>
      </c>
      <c r="G53" s="76">
        <f t="shared" si="2"/>
        <v>1</v>
      </c>
      <c r="H53" s="5" t="str">
        <f t="shared" ca="1" si="0"/>
        <v>UCLA</v>
      </c>
      <c r="I53" s="5" t="s">
        <v>151</v>
      </c>
      <c r="K53" s="85">
        <f>INDEX(Sheet2!$C$1:$K$70,MATCH(E53,Sheet2!$C$1:$C$70,0),MATCH(C53,Sheet2!$C$1:$K$1,0))/100</f>
        <v>1</v>
      </c>
      <c r="L53" s="85">
        <f>INDEX(Sheet2!$C$1:$K$70,MATCH(F53,Sheet2!$C$1:$C$70,0),MATCH(C53,Sheet2!$C$1:$K$1,0))/100</f>
        <v>0</v>
      </c>
      <c r="M53" s="85"/>
      <c r="N53" s="78" t="str">
        <f t="shared" si="9"/>
        <v>3/20/2025</v>
      </c>
    </row>
    <row r="54" spans="1:14" x14ac:dyDescent="0.3">
      <c r="A54" s="5" t="s">
        <v>152</v>
      </c>
      <c r="B54" s="5" t="s">
        <v>11</v>
      </c>
      <c r="C54" s="5" t="s">
        <v>5</v>
      </c>
      <c r="D54" s="83">
        <v>1</v>
      </c>
      <c r="E54" s="5" t="s">
        <v>153</v>
      </c>
      <c r="F54" s="5" t="s">
        <v>154</v>
      </c>
      <c r="G54" s="76">
        <f t="shared" si="2"/>
        <v>1</v>
      </c>
      <c r="H54" s="5" t="str">
        <f t="shared" ca="1" si="0"/>
        <v>Tennessee</v>
      </c>
      <c r="I54" s="5" t="s">
        <v>151</v>
      </c>
      <c r="K54" s="85">
        <f>INDEX(Sheet2!$C$1:$K$70,MATCH(E54,Sheet2!$C$1:$C$70,0),MATCH(C54,Sheet2!$C$1:$K$1,0))/100</f>
        <v>1</v>
      </c>
      <c r="L54" s="85">
        <f>INDEX(Sheet2!$C$1:$K$70,MATCH(F54,Sheet2!$C$1:$C$70,0),MATCH(C54,Sheet2!$C$1:$K$1,0))/100</f>
        <v>0</v>
      </c>
      <c r="M54" s="85"/>
      <c r="N54" s="78" t="str">
        <f t="shared" si="9"/>
        <v>3/20/2025</v>
      </c>
    </row>
    <row r="55" spans="1:14" x14ac:dyDescent="0.3">
      <c r="A55" s="5" t="s">
        <v>155</v>
      </c>
      <c r="B55" s="5" t="s">
        <v>11</v>
      </c>
      <c r="C55" s="5" t="s">
        <v>40</v>
      </c>
      <c r="D55" s="83">
        <v>3</v>
      </c>
      <c r="E55" s="5" t="str">
        <f ca="1">+H47</f>
        <v>Houston</v>
      </c>
      <c r="F55" s="5" t="str">
        <f ca="1">+H48</f>
        <v>Gonzaga</v>
      </c>
      <c r="G55" s="76">
        <f t="shared" ca="1" si="2"/>
        <v>0.752</v>
      </c>
      <c r="H55" s="5" t="str">
        <f t="shared" ca="1" si="0"/>
        <v>Gonzaga</v>
      </c>
      <c r="I55" s="5" t="s">
        <v>156</v>
      </c>
      <c r="K55" s="85">
        <f ca="1">INDEX(Sheet2!$C$1:$K$70,MATCH(E55,Sheet2!$C$1:$C$70,0),MATCH(C55,Sheet2!$C$1:$K$1,0))/INDEX(Sheet2!$C$1:$K$70,MATCH(E55,Sheet2!$C$1:$C$70,0),MATCH(C51,Sheet2!$C$1:$K$1,0))</f>
        <v>0.752</v>
      </c>
      <c r="L55" s="85">
        <f ca="1">INDEX(Sheet2!$C$1:$K$70,MATCH(F55,Sheet2!$C$1:$C$70,0),MATCH(C55,Sheet2!$C$1:$K$1,0))/INDEX(Sheet2!$C$1:$K$70,MATCH(F55,Sheet2!$C$1:$C$70,0),MATCH(C51,Sheet2!$C$1:$K$1,0))</f>
        <v>0.248</v>
      </c>
      <c r="M55" s="85"/>
      <c r="N55" s="78">
        <f t="shared" si="9"/>
        <v>45738</v>
      </c>
    </row>
    <row r="56" spans="1:14" x14ac:dyDescent="0.3">
      <c r="A56" s="5" t="s">
        <v>157</v>
      </c>
      <c r="B56" s="5" t="s">
        <v>11</v>
      </c>
      <c r="C56" s="5" t="s">
        <v>40</v>
      </c>
      <c r="D56" s="83">
        <v>3</v>
      </c>
      <c r="E56" s="5" t="str">
        <f ca="1">+H49</f>
        <v>McNeese St.</v>
      </c>
      <c r="F56" s="5" t="str">
        <f ca="1">+H50</f>
        <v>Purdue</v>
      </c>
      <c r="G56" s="76">
        <f t="shared" ca="1" si="2"/>
        <v>0.245</v>
      </c>
      <c r="H56" s="5" t="str">
        <f t="shared" ca="1" si="0"/>
        <v>Purdue</v>
      </c>
      <c r="I56" s="5" t="s">
        <v>156</v>
      </c>
      <c r="K56" s="85">
        <f ca="1">INDEX(Sheet2!$C$1:$K$70,MATCH(E56,Sheet2!$C$1:$C$70,0),MATCH(C56,Sheet2!$C$1:$K$1,0))/INDEX(Sheet2!$C$1:$K$70,MATCH(E56,Sheet2!$C$1:$C$70,0),MATCH(C52,Sheet2!$C$1:$K$1,0))</f>
        <v>0.245</v>
      </c>
      <c r="L56" s="85">
        <f ca="1">INDEX(Sheet2!$C$1:$K$70,MATCH(F56,Sheet2!$C$1:$C$70,0),MATCH(C56,Sheet2!$C$1:$K$1,0))/INDEX(Sheet2!$C$1:$K$70,MATCH(F56,Sheet2!$C$1:$C$70,0),MATCH(C52,Sheet2!$C$1:$K$1,0))</f>
        <v>0.755</v>
      </c>
      <c r="M56" s="85"/>
      <c r="N56" s="78">
        <f t="shared" si="9"/>
        <v>45738</v>
      </c>
    </row>
    <row r="57" spans="1:14" x14ac:dyDescent="0.3">
      <c r="A57" s="5" t="s">
        <v>158</v>
      </c>
      <c r="B57" s="5" t="s">
        <v>11</v>
      </c>
      <c r="C57" s="5" t="s">
        <v>40</v>
      </c>
      <c r="D57" s="83">
        <v>4</v>
      </c>
      <c r="E57" s="5" t="str">
        <f ca="1">+H51</f>
        <v>Illinois</v>
      </c>
      <c r="F57" s="5" t="str">
        <f ca="1">+H52</f>
        <v>Kentucky</v>
      </c>
      <c r="G57" s="76">
        <f t="shared" ca="1" si="2"/>
        <v>0.495</v>
      </c>
      <c r="H57" s="5" t="str">
        <f t="shared" ca="1" si="0"/>
        <v>Kentucky</v>
      </c>
      <c r="I57" s="5" t="s">
        <v>159</v>
      </c>
      <c r="K57" s="85">
        <f ca="1">INDEX(Sheet2!$C$1:$K$70,MATCH(E57,Sheet2!$C$1:$C$70,0),MATCH(C57,Sheet2!$C$1:$K$1,0))/INDEX(Sheet2!$C$1:$K$70,MATCH(E57,Sheet2!$C$1:$C$70,0),MATCH(C53,Sheet2!$C$1:$K$1,0))</f>
        <v>0.495</v>
      </c>
      <c r="L57" s="85">
        <f ca="1">INDEX(Sheet2!$C$1:$K$70,MATCH(F57,Sheet2!$C$1:$C$70,0),MATCH(C57,Sheet2!$C$1:$K$1,0))/INDEX(Sheet2!$C$1:$K$70,MATCH(F57,Sheet2!$C$1:$C$70,0),MATCH(C53,Sheet2!$C$1:$K$1,0))</f>
        <v>0.505</v>
      </c>
      <c r="M57" s="85"/>
      <c r="N57" s="78">
        <f t="shared" si="9"/>
        <v>45739</v>
      </c>
    </row>
    <row r="58" spans="1:14" x14ac:dyDescent="0.3">
      <c r="A58" s="5" t="s">
        <v>160</v>
      </c>
      <c r="B58" s="5" t="s">
        <v>11</v>
      </c>
      <c r="C58" s="5" t="s">
        <v>40</v>
      </c>
      <c r="D58" s="83">
        <v>3</v>
      </c>
      <c r="E58" s="5" t="str">
        <f ca="1">+H53</f>
        <v>UCLA</v>
      </c>
      <c r="F58" s="5" t="str">
        <f ca="1">+H54</f>
        <v>Tennessee</v>
      </c>
      <c r="G58" s="76">
        <f t="shared" ca="1" si="2"/>
        <v>0.39200000000000002</v>
      </c>
      <c r="H58" s="5" t="str">
        <f t="shared" ca="1" si="0"/>
        <v>UCLA</v>
      </c>
      <c r="I58" s="5" t="s">
        <v>159</v>
      </c>
      <c r="K58" s="85">
        <f ca="1">INDEX(Sheet2!$C$1:$K$70,MATCH(E58,Sheet2!$C$1:$C$70,0),MATCH(C58,Sheet2!$C$1:$K$1,0))/INDEX(Sheet2!$C$1:$K$70,MATCH(E58,Sheet2!$C$1:$C$70,0),MATCH(C54,Sheet2!$C$1:$K$1,0))</f>
        <v>0.39200000000000002</v>
      </c>
      <c r="L58" s="85">
        <f ca="1">INDEX(Sheet2!$C$1:$K$70,MATCH(F58,Sheet2!$C$1:$C$70,0),MATCH(C58,Sheet2!$C$1:$K$1,0))/INDEX(Sheet2!$C$1:$K$70,MATCH(F58,Sheet2!$C$1:$C$70,0),MATCH(C54,Sheet2!$C$1:$K$1,0))</f>
        <v>0.60799999999999998</v>
      </c>
      <c r="M58" s="85"/>
      <c r="N58" s="78">
        <f t="shared" si="9"/>
        <v>45738</v>
      </c>
    </row>
    <row r="59" spans="1:14" x14ac:dyDescent="0.3">
      <c r="A59" s="5" t="s">
        <v>161</v>
      </c>
      <c r="B59" s="5" t="s">
        <v>11</v>
      </c>
      <c r="C59" s="5" t="s">
        <v>47</v>
      </c>
      <c r="D59" s="83">
        <v>6</v>
      </c>
      <c r="E59" s="5" t="str">
        <f ca="1">+H55</f>
        <v>Gonzaga</v>
      </c>
      <c r="F59" s="5" t="str">
        <f ca="1">+H56</f>
        <v>Purdue</v>
      </c>
      <c r="G59" s="76">
        <f t="shared" ca="1" si="2"/>
        <v>0.72784100210388458</v>
      </c>
      <c r="H59" s="5" t="str">
        <f t="shared" ca="1" si="0"/>
        <v>Purdue</v>
      </c>
      <c r="I59" s="5" t="s">
        <v>162</v>
      </c>
      <c r="K59" s="85">
        <f ca="1">INDEX(Sheet2!$C$1:$K$70,MATCH(E59,Sheet2!$C$1:$C$70,0),MATCH(C59,Sheet2!$C$1:$K$1,0))/INDEX(Sheet2!$C$1:$K$70,MATCH(E59,Sheet2!$C$1:$C$70,0),MATCH(C55,Sheet2!$C$1:$K$1,0))</f>
        <v>0.6411290322580645</v>
      </c>
      <c r="L59" s="85">
        <f ca="1">INDEX(Sheet2!$C$1:$K$70,MATCH(F59,Sheet2!$C$1:$C$70,0),MATCH(C59,Sheet2!$C$1:$K$1,0))/INDEX(Sheet2!$C$1:$K$70,MATCH(F59,Sheet2!$C$1:$C$70,0),MATCH(C55,Sheet2!$C$1:$K$1,0))</f>
        <v>0.23973509933774836</v>
      </c>
      <c r="M59" s="85"/>
      <c r="N59" s="78">
        <f>IF(D59=1,"3/20/2025",DATEVALUE("3/20/25")+D59+2)</f>
        <v>45744</v>
      </c>
    </row>
    <row r="60" spans="1:14" x14ac:dyDescent="0.3">
      <c r="A60" s="5" t="s">
        <v>163</v>
      </c>
      <c r="B60" s="5" t="s">
        <v>11</v>
      </c>
      <c r="C60" s="5" t="s">
        <v>47</v>
      </c>
      <c r="D60" s="83">
        <v>6</v>
      </c>
      <c r="E60" s="5" t="str">
        <f ca="1">+H57</f>
        <v>Kentucky</v>
      </c>
      <c r="F60" s="5" t="str">
        <f ca="1">+H58</f>
        <v>UCLA</v>
      </c>
      <c r="G60" s="76">
        <f t="shared" ca="1" si="2"/>
        <v>0.45831724374651389</v>
      </c>
      <c r="H60" s="5" t="str">
        <f t="shared" ca="1" si="0"/>
        <v>Kentucky</v>
      </c>
      <c r="I60" s="5" t="s">
        <v>162</v>
      </c>
      <c r="K60" s="85">
        <f ca="1">INDEX(Sheet2!$C$1:$K$70,MATCH(E60,Sheet2!$C$1:$C$70,0),MATCH(C60,Sheet2!$C$1:$K$1,0))/INDEX(Sheet2!$C$1:$K$70,MATCH(E60,Sheet2!$C$1:$C$70,0),MATCH(C56,Sheet2!$C$1:$K$1,0))</f>
        <v>0.43168316831683168</v>
      </c>
      <c r="L60" s="85">
        <f ca="1">INDEX(Sheet2!$C$1:$K$70,MATCH(F60,Sheet2!$C$1:$C$70,0),MATCH(C60,Sheet2!$C$1:$K$1,0))/INDEX(Sheet2!$C$1:$K$70,MATCH(F60,Sheet2!$C$1:$C$70,0),MATCH(C56,Sheet2!$C$1:$K$1,0))</f>
        <v>0.51020408163265307</v>
      </c>
      <c r="M60" s="85"/>
      <c r="N60" s="78">
        <f>IF(D60=1,"3/20/2025",DATEVALUE("3/20/25")+D60+2)</f>
        <v>45744</v>
      </c>
    </row>
    <row r="61" spans="1:14" x14ac:dyDescent="0.3">
      <c r="A61" s="5" t="s">
        <v>164</v>
      </c>
      <c r="B61" s="5" t="s">
        <v>11</v>
      </c>
      <c r="C61" s="5" t="s">
        <v>51</v>
      </c>
      <c r="D61" s="83">
        <v>8</v>
      </c>
      <c r="E61" s="5" t="str">
        <f ca="1">+H59</f>
        <v>Purdue</v>
      </c>
      <c r="F61" s="5" t="str">
        <f ca="1">+H60</f>
        <v>Kentucky</v>
      </c>
      <c r="G61" s="76">
        <f t="shared" ca="1" si="2"/>
        <v>0.60385746528965178</v>
      </c>
      <c r="H61" s="5" t="str">
        <f t="shared" ca="1" si="0"/>
        <v>Purdue</v>
      </c>
      <c r="I61" s="5" t="s">
        <v>52</v>
      </c>
      <c r="K61" s="85">
        <f ca="1">INDEX(Sheet2!$C$1:$K$70,MATCH(E61,Sheet2!$C$1:$C$70,0),MATCH(C61,Sheet2!$C$1:$K$1,0))/INDEX(Sheet2!$C$1:$K$70,MATCH(E61,Sheet2!$C$1:$C$70,0),MATCH(C59,Sheet2!$C$1:$K$1,0))</f>
        <v>0.4475138121546961</v>
      </c>
      <c r="L61" s="85">
        <f ca="1">INDEX(Sheet2!$C$1:$K$70,MATCH(F61,Sheet2!$C$1:$C$70,0),MATCH(C61,Sheet2!$C$1:$K$1,0))/INDEX(Sheet2!$C$1:$K$70,MATCH(F61,Sheet2!$C$1:$C$70,0),MATCH(C59,Sheet2!$C$1:$K$1,0))</f>
        <v>0.29357798165137616</v>
      </c>
      <c r="M61" s="85"/>
      <c r="N61" s="78">
        <f>IF(D61=1,"3/20/2025",DATEVALUE("3/20/25")+D61+2)</f>
        <v>45746</v>
      </c>
    </row>
    <row r="62" spans="1:14" x14ac:dyDescent="0.3">
      <c r="A62" s="6" t="s">
        <v>166</v>
      </c>
      <c r="B62" s="6" t="s">
        <v>167</v>
      </c>
      <c r="C62" s="6" t="s">
        <v>167</v>
      </c>
      <c r="D62" s="84">
        <v>9</v>
      </c>
      <c r="E62" s="6" t="str">
        <f ca="1">H16</f>
        <v>Auburn</v>
      </c>
      <c r="F62" s="6" t="str">
        <f ca="1">H46</f>
        <v>St. John's</v>
      </c>
      <c r="G62" s="72">
        <f t="shared" ca="1" si="2"/>
        <v>0.60056956354793301</v>
      </c>
      <c r="H62" s="6" t="str">
        <f ca="1">IF(RAND() &lt;G62, E62, F62)</f>
        <v>Auburn</v>
      </c>
      <c r="I62" s="6" t="s">
        <v>168</v>
      </c>
      <c r="K62" s="85">
        <f ca="1">INDEX(Sheet2!$C$1:$K$70,MATCH(E62,Sheet2!$C$1:$C$70,0),MATCH(C62,Sheet2!$C$1:$K$1,0))/INDEX(Sheet2!$C$1:$K$70,MATCH(E62,Sheet2!$C$1:$C$70,0),MATCH(C61,Sheet2!$C$1:$K$1,0))</f>
        <v>0.62557077625570778</v>
      </c>
      <c r="L62" s="85">
        <f ca="1">INDEX(Sheet2!$C$1:$K$70,MATCH(F62,Sheet2!$C$1:$C$70,0),MATCH(C62,Sheet2!$C$1:$K$1,0))/INDEX(Sheet2!$C$1:$K$70,MATCH(F62,Sheet2!$C$1:$C$70,0),MATCH(C61,Sheet2!$C$1:$K$1,0))</f>
        <v>0.41605839416058399</v>
      </c>
      <c r="M62" s="85"/>
      <c r="N62" s="78">
        <f>IF(D62=1,"3/20/2025",DATEVALUE("3/20/25")+D62+7)</f>
        <v>45752</v>
      </c>
    </row>
    <row r="63" spans="1:14" x14ac:dyDescent="0.3">
      <c r="A63" s="6" t="s">
        <v>169</v>
      </c>
      <c r="B63" s="6" t="s">
        <v>167</v>
      </c>
      <c r="C63" s="6" t="s">
        <v>167</v>
      </c>
      <c r="D63" s="84">
        <v>9</v>
      </c>
      <c r="E63" s="6" t="str">
        <f ca="1">H31</f>
        <v>Duke</v>
      </c>
      <c r="F63" s="6" t="str">
        <f ca="1">H61</f>
        <v>Purdue</v>
      </c>
      <c r="G63" s="72">
        <f t="shared" ca="1" si="2"/>
        <v>0.6462228870605834</v>
      </c>
      <c r="H63" s="6" t="str">
        <f t="shared" ca="1" si="0"/>
        <v>Purdue</v>
      </c>
      <c r="I63" s="6" t="s">
        <v>168</v>
      </c>
      <c r="K63" s="85">
        <f ca="1">INDEX(Sheet2!$C$1:$K$70,MATCH(E63,Sheet2!$C$1:$C$70,0),MATCH(C63,Sheet2!$C$1:$K$1,0))/INDEX(Sheet2!$C$1:$K$70,MATCH(E63,Sheet2!$C$1:$C$70,0),MATCH(C61,Sheet2!$C$1:$K$1,0))</f>
        <v>0.60887949260042284</v>
      </c>
      <c r="L63" s="85">
        <f ca="1">INDEX(Sheet2!$C$1:$K$70,MATCH(F63,Sheet2!$C$1:$C$70,0),MATCH(C63,Sheet2!$C$1:$K$1,0))/INDEX(Sheet2!$C$1:$K$70,MATCH(F63,Sheet2!$C$1:$C$70,0),MATCH(C61,Sheet2!$C$1:$K$1,0))</f>
        <v>0.33333333333333337</v>
      </c>
      <c r="M63" s="85"/>
      <c r="N63" s="78">
        <f>IF(D63=1,"3/20/2025",DATEVALUE("3/20/25")+D63+7)</f>
        <v>45752</v>
      </c>
    </row>
    <row r="64" spans="1:14" x14ac:dyDescent="0.3">
      <c r="A64" s="6" t="s">
        <v>170</v>
      </c>
      <c r="B64" s="6" t="s">
        <v>171</v>
      </c>
      <c r="C64" s="6" t="s">
        <v>172</v>
      </c>
      <c r="D64" s="84">
        <v>10</v>
      </c>
      <c r="E64" s="6" t="str">
        <f ca="1">H62</f>
        <v>Auburn</v>
      </c>
      <c r="F64" s="6" t="str">
        <f ca="1">H63</f>
        <v>Purdue</v>
      </c>
      <c r="G64" s="72">
        <f t="shared" ca="1" si="2"/>
        <v>0.57975460122699385</v>
      </c>
      <c r="H64" s="6" t="str">
        <f t="shared" ca="1" si="0"/>
        <v>Auburn</v>
      </c>
      <c r="I64" s="6" t="s">
        <v>173</v>
      </c>
      <c r="K64" s="85">
        <f ca="1">INDEX(Sheet2!$C$1:$K$70,MATCH(E64,Sheet2!$C$1:$C$70,0),MATCH(C64,Sheet2!$C$1:$K$1,0))/INDEX(Sheet2!$C$1:$K$70,MATCH(E64,Sheet2!$C$1:$C$70,0),MATCH(C62,Sheet2!$C$1:$K$1,0))</f>
        <v>0.51094890510948909</v>
      </c>
      <c r="L64" s="85">
        <f ca="1">INDEX(Sheet2!$C$1:$K$70,MATCH(F64,Sheet2!$C$1:$C$70,0),MATCH(C64,Sheet2!$C$1:$K$1,0))/INDEX(Sheet2!$C$1:$K$70,MATCH(F64,Sheet2!$C$1:$C$70,0),MATCH(C62,Sheet2!$C$1:$K$1,0))</f>
        <v>0.37037037037037035</v>
      </c>
      <c r="M64" s="85"/>
      <c r="N64" s="78">
        <f>IF(D64=1,"3/20/2025",DATEVALUE("3/20/25")+D64+8)</f>
        <v>45754</v>
      </c>
    </row>
  </sheetData>
  <autoFilter ref="A1:I64" xr:uid="{A2ECAD15-89EA-4C21-8E90-9085CED775F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49204-2783-4E32-B1B6-747124FC1850}">
  <sheetPr codeName="Sheet2"/>
  <dimension ref="A1:S70"/>
  <sheetViews>
    <sheetView topLeftCell="A28" workbookViewId="0">
      <selection activeCell="N3" sqref="N3:S66"/>
    </sheetView>
  </sheetViews>
  <sheetFormatPr defaultRowHeight="14.4" x14ac:dyDescent="0.3"/>
  <cols>
    <col min="3" max="3" width="15.5546875" customWidth="1"/>
    <col min="6" max="11" width="13.6640625" customWidth="1"/>
  </cols>
  <sheetData>
    <row r="1" spans="1:19" ht="28.8" x14ac:dyDescent="0.3">
      <c r="E1" s="2"/>
      <c r="F1" s="2" t="s">
        <v>5</v>
      </c>
      <c r="G1" s="2" t="s">
        <v>40</v>
      </c>
      <c r="H1" s="2" t="s">
        <v>47</v>
      </c>
      <c r="I1" s="2" t="s">
        <v>51</v>
      </c>
      <c r="J1" s="2" t="s">
        <v>167</v>
      </c>
      <c r="K1" s="2" t="s">
        <v>172</v>
      </c>
    </row>
    <row r="2" spans="1:19" ht="15" thickBot="1" x14ac:dyDescent="0.35">
      <c r="A2" s="7" t="s">
        <v>174</v>
      </c>
      <c r="B2" s="7" t="s">
        <v>7</v>
      </c>
      <c r="C2" s="8" t="s">
        <v>175</v>
      </c>
      <c r="D2" s="7" t="s">
        <v>176</v>
      </c>
      <c r="E2" s="9" t="s">
        <v>177</v>
      </c>
      <c r="F2" s="9" t="s">
        <v>178</v>
      </c>
      <c r="G2" s="9" t="s">
        <v>179</v>
      </c>
      <c r="H2" s="9" t="s">
        <v>116</v>
      </c>
      <c r="I2" s="9" t="s">
        <v>180</v>
      </c>
      <c r="J2" s="9" t="s">
        <v>169</v>
      </c>
      <c r="K2" s="9" t="s">
        <v>181</v>
      </c>
    </row>
    <row r="3" spans="1:19" ht="15" thickBot="1" x14ac:dyDescent="0.35">
      <c r="A3" s="10">
        <v>1</v>
      </c>
      <c r="B3" s="10" t="s">
        <v>11</v>
      </c>
      <c r="C3" s="11" t="s">
        <v>130</v>
      </c>
      <c r="D3" s="12" t="s">
        <v>182</v>
      </c>
      <c r="E3" s="13">
        <v>100</v>
      </c>
      <c r="F3" s="13">
        <v>100</v>
      </c>
      <c r="G3" s="14">
        <v>75.2</v>
      </c>
      <c r="H3" s="15">
        <v>63.6</v>
      </c>
      <c r="I3" s="16">
        <v>50</v>
      </c>
      <c r="J3" s="17">
        <v>32.9</v>
      </c>
      <c r="K3" s="18">
        <v>23.3</v>
      </c>
      <c r="M3">
        <f>E3/100</f>
        <v>1</v>
      </c>
      <c r="N3">
        <f t="shared" ref="N3:S3" si="0">F3/100</f>
        <v>1</v>
      </c>
      <c r="O3">
        <f t="shared" si="0"/>
        <v>0.752</v>
      </c>
      <c r="P3">
        <f t="shared" si="0"/>
        <v>0.63600000000000001</v>
      </c>
      <c r="Q3">
        <f t="shared" si="0"/>
        <v>0.5</v>
      </c>
      <c r="R3">
        <f t="shared" si="0"/>
        <v>0.32899999999999996</v>
      </c>
      <c r="S3">
        <f t="shared" si="0"/>
        <v>0.23300000000000001</v>
      </c>
    </row>
    <row r="4" spans="1:19" ht="15" thickBot="1" x14ac:dyDescent="0.35">
      <c r="A4" s="10">
        <v>1</v>
      </c>
      <c r="B4" s="10" t="s">
        <v>92</v>
      </c>
      <c r="C4" s="11" t="s">
        <v>55</v>
      </c>
      <c r="D4" s="12" t="s">
        <v>183</v>
      </c>
      <c r="E4" s="13">
        <v>100</v>
      </c>
      <c r="F4" s="13">
        <v>100</v>
      </c>
      <c r="G4" s="19">
        <v>84.1</v>
      </c>
      <c r="H4" s="20">
        <v>64.5</v>
      </c>
      <c r="I4" s="21">
        <v>47.3</v>
      </c>
      <c r="J4" s="22">
        <v>28.8</v>
      </c>
      <c r="K4" s="23">
        <v>19.2</v>
      </c>
      <c r="M4">
        <f t="shared" ref="M4:M66" si="1">E4/100</f>
        <v>1</v>
      </c>
      <c r="N4">
        <f t="shared" ref="N4:N66" si="2">F4/100</f>
        <v>1</v>
      </c>
      <c r="O4">
        <f t="shared" ref="O4:O66" si="3">G4/100</f>
        <v>0.84099999999999997</v>
      </c>
      <c r="P4">
        <f t="shared" ref="P4:P66" si="4">H4/100</f>
        <v>0.64500000000000002</v>
      </c>
      <c r="Q4">
        <f t="shared" ref="Q4:Q66" si="5">I4/100</f>
        <v>0.47299999999999998</v>
      </c>
      <c r="R4">
        <f t="shared" ref="R4:R66" si="6">J4/100</f>
        <v>0.28800000000000003</v>
      </c>
      <c r="S4">
        <f t="shared" ref="S4:S66" si="7">K4/100</f>
        <v>0.192</v>
      </c>
    </row>
    <row r="5" spans="1:19" ht="15" thickBot="1" x14ac:dyDescent="0.35">
      <c r="A5" s="10">
        <v>1</v>
      </c>
      <c r="B5" s="10" t="s">
        <v>54</v>
      </c>
      <c r="C5" s="11" t="s">
        <v>14</v>
      </c>
      <c r="D5" s="12" t="s">
        <v>184</v>
      </c>
      <c r="E5" s="13">
        <v>100</v>
      </c>
      <c r="F5" s="13">
        <v>100</v>
      </c>
      <c r="G5" s="24">
        <v>81.5</v>
      </c>
      <c r="H5" s="25">
        <v>62.3</v>
      </c>
      <c r="I5" s="26">
        <v>43.8</v>
      </c>
      <c r="J5" s="27">
        <v>27.4</v>
      </c>
      <c r="K5" s="28">
        <v>14</v>
      </c>
      <c r="M5">
        <f t="shared" si="1"/>
        <v>1</v>
      </c>
      <c r="N5">
        <f t="shared" si="2"/>
        <v>1</v>
      </c>
      <c r="O5">
        <f t="shared" si="3"/>
        <v>0.81499999999999995</v>
      </c>
      <c r="P5">
        <f t="shared" si="4"/>
        <v>0.623</v>
      </c>
      <c r="Q5">
        <f t="shared" si="5"/>
        <v>0.43799999999999994</v>
      </c>
      <c r="R5">
        <f t="shared" si="6"/>
        <v>0.27399999999999997</v>
      </c>
      <c r="S5">
        <f t="shared" si="7"/>
        <v>0.14000000000000001</v>
      </c>
    </row>
    <row r="6" spans="1:19" ht="15" thickBot="1" x14ac:dyDescent="0.35">
      <c r="A6" s="10">
        <v>1</v>
      </c>
      <c r="B6" s="10" t="s">
        <v>129</v>
      </c>
      <c r="C6" s="11" t="s">
        <v>93</v>
      </c>
      <c r="D6" s="12" t="s">
        <v>184</v>
      </c>
      <c r="E6" s="13">
        <v>100</v>
      </c>
      <c r="F6" s="13">
        <v>100</v>
      </c>
      <c r="G6" s="29">
        <v>80.599999999999994</v>
      </c>
      <c r="H6" s="30">
        <v>54</v>
      </c>
      <c r="I6" s="31">
        <v>36.5</v>
      </c>
      <c r="J6" s="32">
        <v>21.7</v>
      </c>
      <c r="K6" s="33">
        <v>10.6</v>
      </c>
      <c r="M6">
        <f t="shared" si="1"/>
        <v>1</v>
      </c>
      <c r="N6">
        <f t="shared" si="2"/>
        <v>1</v>
      </c>
      <c r="O6">
        <f t="shared" si="3"/>
        <v>0.80599999999999994</v>
      </c>
      <c r="P6">
        <f t="shared" si="4"/>
        <v>0.54</v>
      </c>
      <c r="Q6">
        <f t="shared" si="5"/>
        <v>0.36499999999999999</v>
      </c>
      <c r="R6">
        <f t="shared" si="6"/>
        <v>0.217</v>
      </c>
      <c r="S6">
        <f t="shared" si="7"/>
        <v>0.106</v>
      </c>
    </row>
    <row r="7" spans="1:19" ht="15" thickBot="1" x14ac:dyDescent="0.35">
      <c r="A7" s="10">
        <v>3</v>
      </c>
      <c r="B7" s="10" t="s">
        <v>129</v>
      </c>
      <c r="C7" s="11" t="s">
        <v>110</v>
      </c>
      <c r="D7" s="12" t="s">
        <v>182</v>
      </c>
      <c r="E7" s="13">
        <v>100</v>
      </c>
      <c r="F7" s="13">
        <v>100</v>
      </c>
      <c r="G7" s="34">
        <v>79.900000000000006</v>
      </c>
      <c r="H7" s="16">
        <v>50.4</v>
      </c>
      <c r="I7" s="18">
        <v>23.6</v>
      </c>
      <c r="J7" s="35">
        <v>11.4</v>
      </c>
      <c r="K7" s="36">
        <v>4.3</v>
      </c>
      <c r="M7">
        <f t="shared" si="1"/>
        <v>1</v>
      </c>
      <c r="N7">
        <f t="shared" si="2"/>
        <v>1</v>
      </c>
      <c r="O7">
        <f t="shared" si="3"/>
        <v>0.79900000000000004</v>
      </c>
      <c r="P7">
        <f t="shared" si="4"/>
        <v>0.504</v>
      </c>
      <c r="Q7">
        <f t="shared" si="5"/>
        <v>0.23600000000000002</v>
      </c>
      <c r="R7">
        <f t="shared" si="6"/>
        <v>0.114</v>
      </c>
      <c r="S7">
        <f t="shared" si="7"/>
        <v>4.2999999999999997E-2</v>
      </c>
    </row>
    <row r="8" spans="1:19" ht="15" thickBot="1" x14ac:dyDescent="0.35">
      <c r="A8" s="10">
        <v>2</v>
      </c>
      <c r="B8" s="10" t="s">
        <v>92</v>
      </c>
      <c r="C8" s="11" t="s">
        <v>78</v>
      </c>
      <c r="D8" s="12" t="s">
        <v>184</v>
      </c>
      <c r="E8" s="13">
        <v>100</v>
      </c>
      <c r="F8" s="13">
        <v>100</v>
      </c>
      <c r="G8" s="37">
        <v>67.099999999999994</v>
      </c>
      <c r="H8" s="38">
        <v>39.299999999999997</v>
      </c>
      <c r="I8" s="39">
        <v>16.899999999999999</v>
      </c>
      <c r="J8" s="40">
        <v>7.3</v>
      </c>
      <c r="K8" s="41">
        <v>3.5</v>
      </c>
      <c r="M8">
        <f t="shared" si="1"/>
        <v>1</v>
      </c>
      <c r="N8">
        <f t="shared" si="2"/>
        <v>1</v>
      </c>
      <c r="O8">
        <f t="shared" si="3"/>
        <v>0.67099999999999993</v>
      </c>
      <c r="P8">
        <f t="shared" si="4"/>
        <v>0.39299999999999996</v>
      </c>
      <c r="Q8">
        <f t="shared" si="5"/>
        <v>0.16899999999999998</v>
      </c>
      <c r="R8">
        <f t="shared" si="6"/>
        <v>7.2999999999999995E-2</v>
      </c>
      <c r="S8">
        <f t="shared" si="7"/>
        <v>3.5000000000000003E-2</v>
      </c>
    </row>
    <row r="9" spans="1:19" ht="15" thickBot="1" x14ac:dyDescent="0.35">
      <c r="A9" s="10">
        <v>3</v>
      </c>
      <c r="B9" s="10" t="s">
        <v>54</v>
      </c>
      <c r="C9" s="11" t="s">
        <v>30</v>
      </c>
      <c r="D9" s="12" t="s">
        <v>182</v>
      </c>
      <c r="E9" s="13">
        <v>100</v>
      </c>
      <c r="F9" s="13">
        <v>100</v>
      </c>
      <c r="G9" s="42">
        <v>68.2</v>
      </c>
      <c r="H9" s="43">
        <v>41</v>
      </c>
      <c r="I9" s="44">
        <v>18.899999999999999</v>
      </c>
      <c r="J9" s="45">
        <v>9.1</v>
      </c>
      <c r="K9" s="41">
        <v>3.3</v>
      </c>
      <c r="M9">
        <f t="shared" si="1"/>
        <v>1</v>
      </c>
      <c r="N9">
        <f t="shared" si="2"/>
        <v>1</v>
      </c>
      <c r="O9">
        <f t="shared" si="3"/>
        <v>0.68200000000000005</v>
      </c>
      <c r="P9">
        <f t="shared" si="4"/>
        <v>0.41</v>
      </c>
      <c r="Q9">
        <f t="shared" si="5"/>
        <v>0.18899999999999997</v>
      </c>
      <c r="R9">
        <f t="shared" si="6"/>
        <v>9.0999999999999998E-2</v>
      </c>
      <c r="S9">
        <f t="shared" si="7"/>
        <v>3.3000000000000002E-2</v>
      </c>
    </row>
    <row r="10" spans="1:19" ht="15" thickBot="1" x14ac:dyDescent="0.35">
      <c r="A10" s="10">
        <v>4</v>
      </c>
      <c r="B10" s="10" t="s">
        <v>129</v>
      </c>
      <c r="C10" s="11" t="s">
        <v>103</v>
      </c>
      <c r="D10" s="12" t="s">
        <v>185</v>
      </c>
      <c r="E10" s="13">
        <v>100</v>
      </c>
      <c r="F10" s="13">
        <v>100</v>
      </c>
      <c r="G10" s="14">
        <v>75.2</v>
      </c>
      <c r="H10" s="46">
        <v>33.700000000000003</v>
      </c>
      <c r="I10" s="44">
        <v>18.899999999999999</v>
      </c>
      <c r="J10" s="45">
        <v>9.1</v>
      </c>
      <c r="K10" s="41">
        <v>3.3</v>
      </c>
      <c r="M10">
        <f t="shared" si="1"/>
        <v>1</v>
      </c>
      <c r="N10">
        <f t="shared" si="2"/>
        <v>1</v>
      </c>
      <c r="O10">
        <f t="shared" si="3"/>
        <v>0.752</v>
      </c>
      <c r="P10">
        <f t="shared" si="4"/>
        <v>0.33700000000000002</v>
      </c>
      <c r="Q10">
        <f t="shared" si="5"/>
        <v>0.18899999999999997</v>
      </c>
      <c r="R10">
        <f t="shared" si="6"/>
        <v>9.0999999999999998E-2</v>
      </c>
      <c r="S10">
        <f t="shared" si="7"/>
        <v>3.3000000000000002E-2</v>
      </c>
    </row>
    <row r="11" spans="1:19" ht="15" thickBot="1" x14ac:dyDescent="0.35">
      <c r="A11" s="10">
        <v>2</v>
      </c>
      <c r="B11" s="10" t="s">
        <v>11</v>
      </c>
      <c r="C11" s="11" t="s">
        <v>153</v>
      </c>
      <c r="D11" s="12" t="s">
        <v>184</v>
      </c>
      <c r="E11" s="13">
        <v>100</v>
      </c>
      <c r="F11" s="13">
        <v>100</v>
      </c>
      <c r="G11" s="47">
        <v>60.8</v>
      </c>
      <c r="H11" s="48">
        <v>37.299999999999997</v>
      </c>
      <c r="I11" s="28">
        <v>14.3</v>
      </c>
      <c r="J11" s="49">
        <v>6.1</v>
      </c>
      <c r="K11" s="50">
        <v>2.9</v>
      </c>
      <c r="M11">
        <f t="shared" si="1"/>
        <v>1</v>
      </c>
      <c r="N11">
        <f t="shared" si="2"/>
        <v>1</v>
      </c>
      <c r="O11">
        <f t="shared" si="3"/>
        <v>0.60799999999999998</v>
      </c>
      <c r="P11">
        <f t="shared" si="4"/>
        <v>0.373</v>
      </c>
      <c r="Q11">
        <f t="shared" si="5"/>
        <v>0.14300000000000002</v>
      </c>
      <c r="R11">
        <f t="shared" si="6"/>
        <v>6.0999999999999999E-2</v>
      </c>
      <c r="S11">
        <f t="shared" si="7"/>
        <v>2.8999999999999998E-2</v>
      </c>
    </row>
    <row r="12" spans="1:19" ht="15" thickBot="1" x14ac:dyDescent="0.35">
      <c r="A12" s="10">
        <v>2</v>
      </c>
      <c r="B12" s="10" t="s">
        <v>54</v>
      </c>
      <c r="C12" s="11" t="s">
        <v>37</v>
      </c>
      <c r="D12" s="12" t="s">
        <v>185</v>
      </c>
      <c r="E12" s="13">
        <v>100</v>
      </c>
      <c r="F12" s="13">
        <v>100</v>
      </c>
      <c r="G12" s="51">
        <v>72.3</v>
      </c>
      <c r="H12" s="48">
        <v>37.200000000000003</v>
      </c>
      <c r="I12" s="52">
        <v>15.8</v>
      </c>
      <c r="J12" s="49">
        <v>6.8</v>
      </c>
      <c r="K12" s="50">
        <v>2.2999999999999998</v>
      </c>
      <c r="M12">
        <f t="shared" si="1"/>
        <v>1</v>
      </c>
      <c r="N12">
        <f t="shared" si="2"/>
        <v>1</v>
      </c>
      <c r="O12">
        <f t="shared" si="3"/>
        <v>0.72299999999999998</v>
      </c>
      <c r="P12">
        <f t="shared" si="4"/>
        <v>0.37200000000000005</v>
      </c>
      <c r="Q12">
        <f t="shared" si="5"/>
        <v>0.158</v>
      </c>
      <c r="R12">
        <f t="shared" si="6"/>
        <v>6.8000000000000005E-2</v>
      </c>
      <c r="S12">
        <f t="shared" si="7"/>
        <v>2.3E-2</v>
      </c>
    </row>
    <row r="13" spans="1:19" ht="15" thickBot="1" x14ac:dyDescent="0.35">
      <c r="A13" s="10">
        <v>4</v>
      </c>
      <c r="B13" s="10" t="s">
        <v>92</v>
      </c>
      <c r="C13" s="11" t="s">
        <v>65</v>
      </c>
      <c r="D13" s="12" t="s">
        <v>182</v>
      </c>
      <c r="E13" s="13">
        <v>100</v>
      </c>
      <c r="F13" s="13">
        <v>100</v>
      </c>
      <c r="G13" s="42">
        <v>68.599999999999994</v>
      </c>
      <c r="H13" s="18">
        <v>23</v>
      </c>
      <c r="I13" s="35">
        <v>11.7</v>
      </c>
      <c r="J13" s="36">
        <v>4.5999999999999996</v>
      </c>
      <c r="K13" s="50">
        <v>2</v>
      </c>
      <c r="M13">
        <f t="shared" si="1"/>
        <v>1</v>
      </c>
      <c r="N13">
        <f t="shared" si="2"/>
        <v>1</v>
      </c>
      <c r="O13">
        <f t="shared" si="3"/>
        <v>0.68599999999999994</v>
      </c>
      <c r="P13">
        <f t="shared" si="4"/>
        <v>0.23</v>
      </c>
      <c r="Q13">
        <f t="shared" si="5"/>
        <v>0.11699999999999999</v>
      </c>
      <c r="R13">
        <f t="shared" si="6"/>
        <v>4.5999999999999999E-2</v>
      </c>
      <c r="S13">
        <f t="shared" si="7"/>
        <v>0.02</v>
      </c>
    </row>
    <row r="14" spans="1:19" ht="15" thickBot="1" x14ac:dyDescent="0.35">
      <c r="A14" s="10">
        <v>2</v>
      </c>
      <c r="B14" s="10" t="s">
        <v>129</v>
      </c>
      <c r="C14" s="11" t="s">
        <v>186</v>
      </c>
      <c r="D14" s="12" t="s">
        <v>187</v>
      </c>
      <c r="E14" s="13">
        <v>100</v>
      </c>
      <c r="F14" s="13">
        <v>100</v>
      </c>
      <c r="G14" s="53">
        <v>70.8</v>
      </c>
      <c r="H14" s="54">
        <v>34.5</v>
      </c>
      <c r="I14" s="55">
        <v>13.7</v>
      </c>
      <c r="J14" s="56">
        <v>5.7</v>
      </c>
      <c r="K14" s="57">
        <v>1.7</v>
      </c>
      <c r="M14">
        <f t="shared" si="1"/>
        <v>1</v>
      </c>
      <c r="N14">
        <f t="shared" si="2"/>
        <v>1</v>
      </c>
      <c r="O14">
        <f t="shared" si="3"/>
        <v>0.70799999999999996</v>
      </c>
      <c r="P14">
        <f t="shared" si="4"/>
        <v>0.34499999999999997</v>
      </c>
      <c r="Q14">
        <f t="shared" si="5"/>
        <v>0.13699999999999998</v>
      </c>
      <c r="R14">
        <f t="shared" si="6"/>
        <v>5.7000000000000002E-2</v>
      </c>
      <c r="S14">
        <f t="shared" si="7"/>
        <v>1.7000000000000001E-2</v>
      </c>
    </row>
    <row r="15" spans="1:19" ht="15" thickBot="1" x14ac:dyDescent="0.35">
      <c r="A15" s="10">
        <v>8</v>
      </c>
      <c r="B15" s="10" t="s">
        <v>11</v>
      </c>
      <c r="C15" s="11" t="s">
        <v>6</v>
      </c>
      <c r="D15" s="12" t="s">
        <v>188</v>
      </c>
      <c r="E15" s="13">
        <v>100</v>
      </c>
      <c r="F15" s="13">
        <v>100</v>
      </c>
      <c r="G15" s="58">
        <v>24.8</v>
      </c>
      <c r="H15" s="52">
        <v>15.9</v>
      </c>
      <c r="I15" s="59">
        <v>8.8000000000000007</v>
      </c>
      <c r="J15" s="41">
        <v>3.5</v>
      </c>
      <c r="K15" s="57">
        <v>1.5</v>
      </c>
      <c r="M15">
        <f t="shared" si="1"/>
        <v>1</v>
      </c>
      <c r="N15">
        <f t="shared" si="2"/>
        <v>1</v>
      </c>
      <c r="O15">
        <f t="shared" si="3"/>
        <v>0.248</v>
      </c>
      <c r="P15">
        <f t="shared" si="4"/>
        <v>0.159</v>
      </c>
      <c r="Q15">
        <f t="shared" si="5"/>
        <v>8.8000000000000009E-2</v>
      </c>
      <c r="R15">
        <f t="shared" si="6"/>
        <v>3.5000000000000003E-2</v>
      </c>
      <c r="S15">
        <f t="shared" si="7"/>
        <v>1.4999999999999999E-2</v>
      </c>
    </row>
    <row r="16" spans="1:19" ht="15" thickBot="1" x14ac:dyDescent="0.35">
      <c r="A16" s="10">
        <v>3</v>
      </c>
      <c r="B16" s="10" t="s">
        <v>92</v>
      </c>
      <c r="C16" s="11" t="s">
        <v>72</v>
      </c>
      <c r="D16" s="12" t="s">
        <v>185</v>
      </c>
      <c r="E16" s="13">
        <v>100</v>
      </c>
      <c r="F16" s="13">
        <v>100</v>
      </c>
      <c r="G16" s="60">
        <v>51.3</v>
      </c>
      <c r="H16" s="58">
        <v>24.7</v>
      </c>
      <c r="I16" s="59">
        <v>8.6999999999999993</v>
      </c>
      <c r="J16" s="41">
        <v>3.2</v>
      </c>
      <c r="K16" s="57">
        <v>1.3</v>
      </c>
      <c r="M16">
        <f t="shared" si="1"/>
        <v>1</v>
      </c>
      <c r="N16">
        <f t="shared" si="2"/>
        <v>1</v>
      </c>
      <c r="O16">
        <f t="shared" si="3"/>
        <v>0.51300000000000001</v>
      </c>
      <c r="P16">
        <f t="shared" si="4"/>
        <v>0.247</v>
      </c>
      <c r="Q16">
        <f t="shared" si="5"/>
        <v>8.6999999999999994E-2</v>
      </c>
      <c r="R16">
        <f t="shared" si="6"/>
        <v>3.2000000000000001E-2</v>
      </c>
      <c r="S16">
        <f t="shared" si="7"/>
        <v>1.3000000000000001E-2</v>
      </c>
    </row>
    <row r="17" spans="1:19" ht="15" thickBot="1" x14ac:dyDescent="0.35">
      <c r="A17" s="10">
        <v>6</v>
      </c>
      <c r="B17" s="10" t="s">
        <v>92</v>
      </c>
      <c r="C17" s="11" t="s">
        <v>68</v>
      </c>
      <c r="D17" s="12" t="s">
        <v>182</v>
      </c>
      <c r="E17" s="13">
        <v>100</v>
      </c>
      <c r="F17" s="13">
        <v>100</v>
      </c>
      <c r="G17" s="61">
        <v>48.7</v>
      </c>
      <c r="H17" s="62">
        <v>22.5</v>
      </c>
      <c r="I17" s="40">
        <v>7.6</v>
      </c>
      <c r="J17" s="50">
        <v>2.6</v>
      </c>
      <c r="K17" s="57">
        <v>1.1000000000000001</v>
      </c>
      <c r="M17">
        <f t="shared" si="1"/>
        <v>1</v>
      </c>
      <c r="N17">
        <f t="shared" si="2"/>
        <v>1</v>
      </c>
      <c r="O17">
        <f t="shared" si="3"/>
        <v>0.48700000000000004</v>
      </c>
      <c r="P17">
        <f t="shared" si="4"/>
        <v>0.22500000000000001</v>
      </c>
      <c r="Q17">
        <f t="shared" si="5"/>
        <v>7.5999999999999998E-2</v>
      </c>
      <c r="R17">
        <f t="shared" si="6"/>
        <v>2.6000000000000002E-2</v>
      </c>
      <c r="S17">
        <f t="shared" si="7"/>
        <v>1.1000000000000001E-2</v>
      </c>
    </row>
    <row r="18" spans="1:19" ht="15" thickBot="1" x14ac:dyDescent="0.35">
      <c r="A18" s="10">
        <v>4</v>
      </c>
      <c r="B18" s="10" t="s">
        <v>11</v>
      </c>
      <c r="C18" s="11" t="s">
        <v>139</v>
      </c>
      <c r="D18" s="12" t="s">
        <v>185</v>
      </c>
      <c r="E18" s="13">
        <v>100</v>
      </c>
      <c r="F18" s="13">
        <v>100</v>
      </c>
      <c r="G18" s="14">
        <v>75.5</v>
      </c>
      <c r="H18" s="44">
        <v>18.100000000000001</v>
      </c>
      <c r="I18" s="59">
        <v>8.1</v>
      </c>
      <c r="J18" s="50">
        <v>2.7</v>
      </c>
      <c r="K18" s="57">
        <v>1</v>
      </c>
      <c r="M18">
        <f t="shared" si="1"/>
        <v>1</v>
      </c>
      <c r="N18">
        <f t="shared" si="2"/>
        <v>1</v>
      </c>
      <c r="O18">
        <f t="shared" si="3"/>
        <v>0.755</v>
      </c>
      <c r="P18">
        <f t="shared" si="4"/>
        <v>0.18100000000000002</v>
      </c>
      <c r="Q18">
        <f t="shared" si="5"/>
        <v>8.1000000000000003E-2</v>
      </c>
      <c r="R18">
        <f t="shared" si="6"/>
        <v>2.7000000000000003E-2</v>
      </c>
      <c r="S18">
        <f t="shared" si="7"/>
        <v>0.01</v>
      </c>
    </row>
    <row r="19" spans="1:19" ht="15" thickBot="1" x14ac:dyDescent="0.35">
      <c r="A19" s="10">
        <v>3</v>
      </c>
      <c r="B19" s="10" t="s">
        <v>11</v>
      </c>
      <c r="C19" s="11" t="s">
        <v>146</v>
      </c>
      <c r="D19" s="12" t="s">
        <v>184</v>
      </c>
      <c r="E19" s="13">
        <v>100</v>
      </c>
      <c r="F19" s="13">
        <v>100</v>
      </c>
      <c r="G19" s="16">
        <v>50.5</v>
      </c>
      <c r="H19" s="32">
        <v>21.8</v>
      </c>
      <c r="I19" s="49">
        <v>6.4</v>
      </c>
      <c r="J19" s="50">
        <v>2.1</v>
      </c>
      <c r="K19" s="63">
        <v>0.8</v>
      </c>
      <c r="M19">
        <f t="shared" si="1"/>
        <v>1</v>
      </c>
      <c r="N19">
        <f t="shared" si="2"/>
        <v>1</v>
      </c>
      <c r="O19">
        <f t="shared" si="3"/>
        <v>0.505</v>
      </c>
      <c r="P19">
        <f t="shared" si="4"/>
        <v>0.218</v>
      </c>
      <c r="Q19">
        <f t="shared" si="5"/>
        <v>6.4000000000000001E-2</v>
      </c>
      <c r="R19">
        <f t="shared" si="6"/>
        <v>2.1000000000000001E-2</v>
      </c>
      <c r="S19">
        <f t="shared" si="7"/>
        <v>8.0000000000000002E-3</v>
      </c>
    </row>
    <row r="20" spans="1:19" ht="15" thickBot="1" x14ac:dyDescent="0.35">
      <c r="A20" s="10">
        <v>4</v>
      </c>
      <c r="B20" s="10" t="s">
        <v>54</v>
      </c>
      <c r="C20" s="11" t="s">
        <v>24</v>
      </c>
      <c r="D20" s="12" t="s">
        <v>184</v>
      </c>
      <c r="E20" s="13">
        <v>100</v>
      </c>
      <c r="F20" s="13">
        <v>100</v>
      </c>
      <c r="G20" s="64">
        <v>53.3</v>
      </c>
      <c r="H20" s="39">
        <v>16.5</v>
      </c>
      <c r="I20" s="40">
        <v>7.2</v>
      </c>
      <c r="J20" s="50">
        <v>2.5</v>
      </c>
      <c r="K20" s="63">
        <v>0.7</v>
      </c>
      <c r="M20">
        <f t="shared" si="1"/>
        <v>1</v>
      </c>
      <c r="N20">
        <f t="shared" si="2"/>
        <v>1</v>
      </c>
      <c r="O20">
        <f t="shared" si="3"/>
        <v>0.53299999999999992</v>
      </c>
      <c r="P20">
        <f t="shared" si="4"/>
        <v>0.16500000000000001</v>
      </c>
      <c r="Q20">
        <f t="shared" si="5"/>
        <v>7.2000000000000008E-2</v>
      </c>
      <c r="R20">
        <f t="shared" si="6"/>
        <v>2.5000000000000001E-2</v>
      </c>
      <c r="S20">
        <f t="shared" si="7"/>
        <v>6.9999999999999993E-3</v>
      </c>
    </row>
    <row r="21" spans="1:19" ht="15" thickBot="1" x14ac:dyDescent="0.35">
      <c r="A21" s="10">
        <v>7</v>
      </c>
      <c r="B21" s="10" t="s">
        <v>11</v>
      </c>
      <c r="C21" s="11" t="s">
        <v>149</v>
      </c>
      <c r="D21" s="12" t="s">
        <v>185</v>
      </c>
      <c r="E21" s="13">
        <v>100</v>
      </c>
      <c r="F21" s="13">
        <v>100</v>
      </c>
      <c r="G21" s="38">
        <v>39.200000000000003</v>
      </c>
      <c r="H21" s="65">
        <v>20</v>
      </c>
      <c r="I21" s="49">
        <v>6</v>
      </c>
      <c r="J21" s="57">
        <v>1.9</v>
      </c>
      <c r="K21" s="63">
        <v>0.7</v>
      </c>
      <c r="M21">
        <f t="shared" si="1"/>
        <v>1</v>
      </c>
      <c r="N21">
        <f t="shared" si="2"/>
        <v>1</v>
      </c>
      <c r="O21">
        <f t="shared" si="3"/>
        <v>0.39200000000000002</v>
      </c>
      <c r="P21">
        <f t="shared" si="4"/>
        <v>0.2</v>
      </c>
      <c r="Q21">
        <f t="shared" si="5"/>
        <v>0.06</v>
      </c>
      <c r="R21">
        <f t="shared" si="6"/>
        <v>1.9E-2</v>
      </c>
      <c r="S21">
        <f t="shared" si="7"/>
        <v>6.9999999999999993E-3</v>
      </c>
    </row>
    <row r="22" spans="1:19" ht="15" thickBot="1" x14ac:dyDescent="0.35">
      <c r="A22" s="10">
        <v>6</v>
      </c>
      <c r="B22" s="10" t="s">
        <v>11</v>
      </c>
      <c r="C22" s="11" t="s">
        <v>142</v>
      </c>
      <c r="D22" s="12" t="s">
        <v>185</v>
      </c>
      <c r="E22" s="13">
        <v>100</v>
      </c>
      <c r="F22" s="13">
        <v>100</v>
      </c>
      <c r="G22" s="66">
        <v>49.5</v>
      </c>
      <c r="H22" s="65">
        <v>20.9</v>
      </c>
      <c r="I22" s="56">
        <v>5.9</v>
      </c>
      <c r="J22" s="57">
        <v>1.9</v>
      </c>
      <c r="K22" s="63">
        <v>0.7</v>
      </c>
      <c r="M22">
        <f t="shared" si="1"/>
        <v>1</v>
      </c>
      <c r="N22">
        <f t="shared" si="2"/>
        <v>1</v>
      </c>
      <c r="O22">
        <f t="shared" si="3"/>
        <v>0.495</v>
      </c>
      <c r="P22">
        <f t="shared" si="4"/>
        <v>0.20899999999999999</v>
      </c>
      <c r="Q22">
        <f t="shared" si="5"/>
        <v>5.9000000000000004E-2</v>
      </c>
      <c r="R22">
        <f t="shared" si="6"/>
        <v>1.9E-2</v>
      </c>
      <c r="S22">
        <f t="shared" si="7"/>
        <v>6.9999999999999993E-3</v>
      </c>
    </row>
    <row r="23" spans="1:19" ht="15" thickBot="1" x14ac:dyDescent="0.35">
      <c r="A23" s="10">
        <v>5</v>
      </c>
      <c r="B23" s="10" t="s">
        <v>54</v>
      </c>
      <c r="C23" s="11" t="s">
        <v>20</v>
      </c>
      <c r="D23" s="12" t="s">
        <v>185</v>
      </c>
      <c r="E23" s="13">
        <v>100</v>
      </c>
      <c r="F23" s="13">
        <v>100</v>
      </c>
      <c r="G23" s="67">
        <v>46.7</v>
      </c>
      <c r="H23" s="55">
        <v>13.3</v>
      </c>
      <c r="I23" s="56">
        <v>5.5</v>
      </c>
      <c r="J23" s="57">
        <v>1.8</v>
      </c>
      <c r="K23" s="63">
        <v>0.4</v>
      </c>
      <c r="M23">
        <f t="shared" si="1"/>
        <v>1</v>
      </c>
      <c r="N23">
        <f t="shared" si="2"/>
        <v>1</v>
      </c>
      <c r="O23">
        <f t="shared" si="3"/>
        <v>0.46700000000000003</v>
      </c>
      <c r="P23">
        <f t="shared" si="4"/>
        <v>0.13300000000000001</v>
      </c>
      <c r="Q23">
        <f t="shared" si="5"/>
        <v>5.5E-2</v>
      </c>
      <c r="R23">
        <f t="shared" si="6"/>
        <v>1.8000000000000002E-2</v>
      </c>
      <c r="S23">
        <f t="shared" si="7"/>
        <v>4.0000000000000001E-3</v>
      </c>
    </row>
    <row r="24" spans="1:19" ht="15" thickBot="1" x14ac:dyDescent="0.35">
      <c r="A24" s="10">
        <v>7</v>
      </c>
      <c r="B24" s="10" t="s">
        <v>92</v>
      </c>
      <c r="C24" s="11" t="s">
        <v>189</v>
      </c>
      <c r="D24" s="12" t="s">
        <v>188</v>
      </c>
      <c r="E24" s="13">
        <v>100</v>
      </c>
      <c r="F24" s="13">
        <v>100</v>
      </c>
      <c r="G24" s="17">
        <v>32.9</v>
      </c>
      <c r="H24" s="55">
        <v>13.5</v>
      </c>
      <c r="I24" s="41">
        <v>3.7</v>
      </c>
      <c r="J24" s="57">
        <v>1.1000000000000001</v>
      </c>
      <c r="K24" s="63">
        <v>0.4</v>
      </c>
      <c r="M24">
        <f t="shared" si="1"/>
        <v>1</v>
      </c>
      <c r="N24">
        <f t="shared" si="2"/>
        <v>1</v>
      </c>
      <c r="O24">
        <f t="shared" si="3"/>
        <v>0.32899999999999996</v>
      </c>
      <c r="P24">
        <f t="shared" si="4"/>
        <v>0.13500000000000001</v>
      </c>
      <c r="Q24">
        <f t="shared" si="5"/>
        <v>3.7000000000000005E-2</v>
      </c>
      <c r="R24">
        <f t="shared" si="6"/>
        <v>1.1000000000000001E-2</v>
      </c>
      <c r="S24">
        <f t="shared" si="7"/>
        <v>4.0000000000000001E-3</v>
      </c>
    </row>
    <row r="25" spans="1:19" ht="15" thickBot="1" x14ac:dyDescent="0.35">
      <c r="A25" s="10">
        <v>6</v>
      </c>
      <c r="B25" s="10" t="s">
        <v>54</v>
      </c>
      <c r="C25" s="11" t="s">
        <v>190</v>
      </c>
      <c r="D25" s="12" t="s">
        <v>184</v>
      </c>
      <c r="E25" s="13">
        <v>100</v>
      </c>
      <c r="F25" s="13">
        <v>100</v>
      </c>
      <c r="G25" s="68">
        <v>31.8</v>
      </c>
      <c r="H25" s="55">
        <v>13.6</v>
      </c>
      <c r="I25" s="36">
        <v>4.0999999999999996</v>
      </c>
      <c r="J25" s="57">
        <v>1.3</v>
      </c>
      <c r="K25" s="63">
        <v>0.3</v>
      </c>
      <c r="M25">
        <f t="shared" si="1"/>
        <v>1</v>
      </c>
      <c r="N25">
        <f t="shared" si="2"/>
        <v>1</v>
      </c>
      <c r="O25">
        <f t="shared" si="3"/>
        <v>0.318</v>
      </c>
      <c r="P25">
        <f t="shared" si="4"/>
        <v>0.13600000000000001</v>
      </c>
      <c r="Q25">
        <f t="shared" si="5"/>
        <v>4.0999999999999995E-2</v>
      </c>
      <c r="R25">
        <f t="shared" si="6"/>
        <v>1.3000000000000001E-2</v>
      </c>
      <c r="S25">
        <f t="shared" si="7"/>
        <v>3.0000000000000001E-3</v>
      </c>
    </row>
    <row r="26" spans="1:19" ht="15" thickBot="1" x14ac:dyDescent="0.35">
      <c r="A26" s="10">
        <v>9</v>
      </c>
      <c r="B26" s="10" t="s">
        <v>54</v>
      </c>
      <c r="C26" s="11" t="s">
        <v>18</v>
      </c>
      <c r="D26" s="12" t="s">
        <v>187</v>
      </c>
      <c r="E26" s="13">
        <v>100</v>
      </c>
      <c r="F26" s="13">
        <v>100</v>
      </c>
      <c r="G26" s="44">
        <v>18.5</v>
      </c>
      <c r="H26" s="40">
        <v>7.9</v>
      </c>
      <c r="I26" s="50">
        <v>2.8</v>
      </c>
      <c r="J26" s="63">
        <v>0.8</v>
      </c>
      <c r="K26" s="63">
        <v>0.2</v>
      </c>
      <c r="M26">
        <f t="shared" si="1"/>
        <v>1</v>
      </c>
      <c r="N26">
        <f t="shared" si="2"/>
        <v>1</v>
      </c>
      <c r="O26">
        <f t="shared" si="3"/>
        <v>0.185</v>
      </c>
      <c r="P26">
        <f t="shared" si="4"/>
        <v>7.9000000000000001E-2</v>
      </c>
      <c r="Q26">
        <f t="shared" si="5"/>
        <v>2.7999999999999997E-2</v>
      </c>
      <c r="R26">
        <f t="shared" si="6"/>
        <v>8.0000000000000002E-3</v>
      </c>
      <c r="S26">
        <f t="shared" si="7"/>
        <v>2E-3</v>
      </c>
    </row>
    <row r="27" spans="1:19" ht="15" thickBot="1" x14ac:dyDescent="0.35">
      <c r="A27" s="10">
        <v>8</v>
      </c>
      <c r="B27" s="10" t="s">
        <v>129</v>
      </c>
      <c r="C27" s="11" t="s">
        <v>191</v>
      </c>
      <c r="D27" s="12" t="s">
        <v>187</v>
      </c>
      <c r="E27" s="13">
        <v>100</v>
      </c>
      <c r="F27" s="13">
        <v>100</v>
      </c>
      <c r="G27" s="23">
        <v>19.399999999999999</v>
      </c>
      <c r="H27" s="49">
        <v>6.7</v>
      </c>
      <c r="I27" s="50">
        <v>2.4</v>
      </c>
      <c r="J27" s="63">
        <v>0.7</v>
      </c>
      <c r="K27" s="63">
        <v>0.2</v>
      </c>
      <c r="M27">
        <f t="shared" si="1"/>
        <v>1</v>
      </c>
      <c r="N27">
        <f t="shared" si="2"/>
        <v>1</v>
      </c>
      <c r="O27">
        <f t="shared" si="3"/>
        <v>0.19399999999999998</v>
      </c>
      <c r="P27">
        <f t="shared" si="4"/>
        <v>6.7000000000000004E-2</v>
      </c>
      <c r="Q27">
        <f t="shared" si="5"/>
        <v>2.4E-2</v>
      </c>
      <c r="R27">
        <f t="shared" si="6"/>
        <v>6.9999999999999993E-3</v>
      </c>
      <c r="S27">
        <f t="shared" si="7"/>
        <v>2E-3</v>
      </c>
    </row>
    <row r="28" spans="1:19" ht="15" thickBot="1" x14ac:dyDescent="0.35">
      <c r="A28" s="10">
        <v>9</v>
      </c>
      <c r="B28" s="10" t="s">
        <v>92</v>
      </c>
      <c r="C28" s="11" t="s">
        <v>59</v>
      </c>
      <c r="D28" s="12" t="s">
        <v>182</v>
      </c>
      <c r="E28" s="13">
        <v>100</v>
      </c>
      <c r="F28" s="13">
        <v>100</v>
      </c>
      <c r="G28" s="52">
        <v>15.9</v>
      </c>
      <c r="H28" s="49">
        <v>6.4</v>
      </c>
      <c r="I28" s="50">
        <v>2.2000000000000002</v>
      </c>
      <c r="J28" s="63">
        <v>0.6</v>
      </c>
      <c r="K28" s="63">
        <v>0.2</v>
      </c>
      <c r="M28">
        <f t="shared" si="1"/>
        <v>1</v>
      </c>
      <c r="N28">
        <f t="shared" si="2"/>
        <v>1</v>
      </c>
      <c r="O28">
        <f t="shared" si="3"/>
        <v>0.159</v>
      </c>
      <c r="P28">
        <f t="shared" si="4"/>
        <v>6.4000000000000001E-2</v>
      </c>
      <c r="Q28">
        <f t="shared" si="5"/>
        <v>2.2000000000000002E-2</v>
      </c>
      <c r="R28">
        <f t="shared" si="6"/>
        <v>6.0000000000000001E-3</v>
      </c>
      <c r="S28">
        <f t="shared" si="7"/>
        <v>2E-3</v>
      </c>
    </row>
    <row r="29" spans="1:19" ht="15" thickBot="1" x14ac:dyDescent="0.35">
      <c r="A29" s="10">
        <v>10</v>
      </c>
      <c r="B29" s="10" t="s">
        <v>129</v>
      </c>
      <c r="C29" s="11" t="s">
        <v>114</v>
      </c>
      <c r="D29" s="12" t="s">
        <v>184</v>
      </c>
      <c r="E29" s="13">
        <v>100</v>
      </c>
      <c r="F29" s="13">
        <v>100</v>
      </c>
      <c r="G29" s="69">
        <v>29.2</v>
      </c>
      <c r="H29" s="59">
        <v>8.6999999999999993</v>
      </c>
      <c r="I29" s="50">
        <v>2</v>
      </c>
      <c r="J29" s="63">
        <v>0.5</v>
      </c>
      <c r="K29" s="63">
        <v>0.1</v>
      </c>
      <c r="M29">
        <f t="shared" si="1"/>
        <v>1</v>
      </c>
      <c r="N29">
        <f t="shared" si="2"/>
        <v>1</v>
      </c>
      <c r="O29">
        <f t="shared" si="3"/>
        <v>0.29199999999999998</v>
      </c>
      <c r="P29">
        <f t="shared" si="4"/>
        <v>8.6999999999999994E-2</v>
      </c>
      <c r="Q29">
        <f t="shared" si="5"/>
        <v>0.02</v>
      </c>
      <c r="R29">
        <f t="shared" si="6"/>
        <v>5.0000000000000001E-3</v>
      </c>
      <c r="S29">
        <f t="shared" si="7"/>
        <v>1E-3</v>
      </c>
    </row>
    <row r="30" spans="1:19" ht="15" thickBot="1" x14ac:dyDescent="0.35">
      <c r="A30" s="10">
        <v>12</v>
      </c>
      <c r="B30" s="10" t="s">
        <v>129</v>
      </c>
      <c r="C30" s="11" t="s">
        <v>100</v>
      </c>
      <c r="D30" s="12" t="s">
        <v>192</v>
      </c>
      <c r="E30" s="13">
        <v>100</v>
      </c>
      <c r="F30" s="13">
        <v>100</v>
      </c>
      <c r="G30" s="58">
        <v>24.7</v>
      </c>
      <c r="H30" s="56">
        <v>5.6</v>
      </c>
      <c r="I30" s="57">
        <v>1.7</v>
      </c>
      <c r="J30" s="63">
        <v>0.5</v>
      </c>
      <c r="K30" s="63">
        <v>0.1</v>
      </c>
      <c r="M30">
        <f t="shared" si="1"/>
        <v>1</v>
      </c>
      <c r="N30">
        <f t="shared" si="2"/>
        <v>1</v>
      </c>
      <c r="O30">
        <f t="shared" si="3"/>
        <v>0.247</v>
      </c>
      <c r="P30">
        <f t="shared" si="4"/>
        <v>5.5999999999999994E-2</v>
      </c>
      <c r="Q30">
        <f t="shared" si="5"/>
        <v>1.7000000000000001E-2</v>
      </c>
      <c r="R30">
        <f t="shared" si="6"/>
        <v>5.0000000000000001E-3</v>
      </c>
      <c r="S30">
        <f t="shared" si="7"/>
        <v>1E-3</v>
      </c>
    </row>
    <row r="31" spans="1:19" ht="15" thickBot="1" x14ac:dyDescent="0.35">
      <c r="A31" s="10">
        <v>10</v>
      </c>
      <c r="B31" s="10" t="s">
        <v>54</v>
      </c>
      <c r="C31" s="11" t="s">
        <v>34</v>
      </c>
      <c r="D31" s="12" t="s">
        <v>192</v>
      </c>
      <c r="E31" s="13">
        <v>100</v>
      </c>
      <c r="F31" s="13">
        <v>100</v>
      </c>
      <c r="G31" s="27">
        <v>27.7</v>
      </c>
      <c r="H31" s="59">
        <v>8.1999999999999993</v>
      </c>
      <c r="I31" s="50">
        <v>2</v>
      </c>
      <c r="J31" s="63">
        <v>0.4</v>
      </c>
      <c r="K31" s="63">
        <v>0.1</v>
      </c>
      <c r="M31">
        <f t="shared" si="1"/>
        <v>1</v>
      </c>
      <c r="N31">
        <f t="shared" si="2"/>
        <v>1</v>
      </c>
      <c r="O31">
        <f t="shared" si="3"/>
        <v>0.27699999999999997</v>
      </c>
      <c r="P31">
        <f t="shared" si="4"/>
        <v>8.199999999999999E-2</v>
      </c>
      <c r="Q31">
        <f t="shared" si="5"/>
        <v>0.02</v>
      </c>
      <c r="R31">
        <f t="shared" si="6"/>
        <v>4.0000000000000001E-3</v>
      </c>
      <c r="S31">
        <f t="shared" si="7"/>
        <v>1E-3</v>
      </c>
    </row>
    <row r="32" spans="1:19" ht="15" thickBot="1" x14ac:dyDescent="0.35">
      <c r="A32" s="10">
        <v>5</v>
      </c>
      <c r="B32" s="10" t="s">
        <v>92</v>
      </c>
      <c r="C32" s="11" t="s">
        <v>61</v>
      </c>
      <c r="D32" s="12" t="s">
        <v>185</v>
      </c>
      <c r="E32" s="13">
        <v>100</v>
      </c>
      <c r="F32" s="13">
        <v>100</v>
      </c>
      <c r="G32" s="68">
        <v>31.4</v>
      </c>
      <c r="H32" s="49">
        <v>6.2</v>
      </c>
      <c r="I32" s="50">
        <v>2</v>
      </c>
      <c r="J32" s="63">
        <v>0.4</v>
      </c>
      <c r="K32" s="63">
        <v>0.1</v>
      </c>
      <c r="M32">
        <f t="shared" si="1"/>
        <v>1</v>
      </c>
      <c r="N32">
        <f t="shared" si="2"/>
        <v>1</v>
      </c>
      <c r="O32">
        <f t="shared" si="3"/>
        <v>0.314</v>
      </c>
      <c r="P32">
        <f t="shared" si="4"/>
        <v>6.2E-2</v>
      </c>
      <c r="Q32">
        <f t="shared" si="5"/>
        <v>0.02</v>
      </c>
      <c r="R32">
        <f t="shared" si="6"/>
        <v>4.0000000000000001E-3</v>
      </c>
      <c r="S32">
        <f t="shared" si="7"/>
        <v>1E-3</v>
      </c>
    </row>
    <row r="33" spans="1:19" ht="15" thickBot="1" x14ac:dyDescent="0.35">
      <c r="A33" s="10">
        <v>11</v>
      </c>
      <c r="B33" s="10" t="s">
        <v>129</v>
      </c>
      <c r="C33" s="11" t="s">
        <v>107</v>
      </c>
      <c r="D33" s="12" t="s">
        <v>193</v>
      </c>
      <c r="E33" s="13">
        <v>100</v>
      </c>
      <c r="F33" s="13">
        <v>100</v>
      </c>
      <c r="G33" s="65">
        <v>20.100000000000001</v>
      </c>
      <c r="H33" s="49">
        <v>6.4</v>
      </c>
      <c r="I33" s="57">
        <v>1.2</v>
      </c>
      <c r="J33" s="63">
        <v>0.2</v>
      </c>
      <c r="K33" s="63">
        <v>0</v>
      </c>
      <c r="M33">
        <f t="shared" si="1"/>
        <v>1</v>
      </c>
      <c r="N33">
        <f t="shared" si="2"/>
        <v>1</v>
      </c>
      <c r="O33">
        <f t="shared" si="3"/>
        <v>0.20100000000000001</v>
      </c>
      <c r="P33">
        <f t="shared" si="4"/>
        <v>6.4000000000000001E-2</v>
      </c>
      <c r="Q33">
        <f t="shared" si="5"/>
        <v>1.2E-2</v>
      </c>
      <c r="R33">
        <f t="shared" si="6"/>
        <v>2E-3</v>
      </c>
      <c r="S33">
        <f t="shared" si="7"/>
        <v>0</v>
      </c>
    </row>
    <row r="34" spans="1:19" ht="15" thickBot="1" x14ac:dyDescent="0.35">
      <c r="A34" s="10">
        <v>12</v>
      </c>
      <c r="B34" s="10" t="s">
        <v>11</v>
      </c>
      <c r="C34" s="11" t="s">
        <v>194</v>
      </c>
      <c r="D34" s="12" t="s">
        <v>195</v>
      </c>
      <c r="E34" s="13">
        <v>100</v>
      </c>
      <c r="F34" s="13">
        <v>100</v>
      </c>
      <c r="G34" s="58">
        <v>24.5</v>
      </c>
      <c r="H34" s="50">
        <v>2.4</v>
      </c>
      <c r="I34" s="63">
        <v>0.6</v>
      </c>
      <c r="J34" s="63">
        <v>0.1</v>
      </c>
      <c r="K34" s="63">
        <v>0</v>
      </c>
      <c r="M34">
        <f t="shared" si="1"/>
        <v>1</v>
      </c>
      <c r="N34">
        <f t="shared" si="2"/>
        <v>1</v>
      </c>
      <c r="O34">
        <f t="shared" si="3"/>
        <v>0.245</v>
      </c>
      <c r="P34">
        <f t="shared" si="4"/>
        <v>2.4E-2</v>
      </c>
      <c r="Q34">
        <f t="shared" si="5"/>
        <v>6.0000000000000001E-3</v>
      </c>
      <c r="R34">
        <f t="shared" si="6"/>
        <v>1E-3</v>
      </c>
      <c r="S34">
        <f t="shared" si="7"/>
        <v>0</v>
      </c>
    </row>
    <row r="35" spans="1:19" ht="15" thickBot="1" x14ac:dyDescent="0.35">
      <c r="A35" s="10">
        <v>13</v>
      </c>
      <c r="B35" s="10" t="s">
        <v>92</v>
      </c>
      <c r="C35" s="11" t="s">
        <v>66</v>
      </c>
      <c r="D35" s="12" t="s">
        <v>196</v>
      </c>
      <c r="E35" s="13">
        <v>100</v>
      </c>
      <c r="F35" s="63">
        <v>0</v>
      </c>
      <c r="G35" s="63">
        <v>0</v>
      </c>
      <c r="H35" s="63">
        <v>0</v>
      </c>
      <c r="I35" s="63">
        <v>0</v>
      </c>
      <c r="J35" s="63">
        <v>0</v>
      </c>
      <c r="K35" s="63">
        <v>0</v>
      </c>
      <c r="M35">
        <f t="shared" si="1"/>
        <v>1</v>
      </c>
      <c r="N35">
        <f t="shared" si="2"/>
        <v>0</v>
      </c>
      <c r="O35">
        <f t="shared" si="3"/>
        <v>0</v>
      </c>
      <c r="P35">
        <f t="shared" si="4"/>
        <v>0</v>
      </c>
      <c r="Q35">
        <f t="shared" si="5"/>
        <v>0</v>
      </c>
      <c r="R35">
        <f t="shared" si="6"/>
        <v>0</v>
      </c>
      <c r="S35">
        <f t="shared" si="7"/>
        <v>0</v>
      </c>
    </row>
    <row r="36" spans="1:19" ht="15" thickBot="1" x14ac:dyDescent="0.35">
      <c r="A36" s="10">
        <v>16</v>
      </c>
      <c r="B36" s="10" t="s">
        <v>54</v>
      </c>
      <c r="C36" s="11" t="s">
        <v>12</v>
      </c>
      <c r="D36" s="12" t="s">
        <v>197</v>
      </c>
      <c r="E36" s="13">
        <v>100</v>
      </c>
      <c r="F36" s="63">
        <v>0</v>
      </c>
      <c r="G36" s="63">
        <v>0</v>
      </c>
      <c r="H36" s="63">
        <v>0</v>
      </c>
      <c r="I36" s="63">
        <v>0</v>
      </c>
      <c r="J36" s="63">
        <v>0</v>
      </c>
      <c r="K36" s="63">
        <v>0</v>
      </c>
      <c r="M36">
        <f t="shared" si="1"/>
        <v>1</v>
      </c>
      <c r="N36">
        <f t="shared" si="2"/>
        <v>0</v>
      </c>
      <c r="O36">
        <f t="shared" si="3"/>
        <v>0</v>
      </c>
      <c r="P36">
        <f t="shared" si="4"/>
        <v>0</v>
      </c>
      <c r="Q36">
        <f t="shared" si="5"/>
        <v>0</v>
      </c>
      <c r="R36">
        <f t="shared" si="6"/>
        <v>0</v>
      </c>
      <c r="S36">
        <f t="shared" si="7"/>
        <v>0</v>
      </c>
    </row>
    <row r="37" spans="1:19" ht="15" thickBot="1" x14ac:dyDescent="0.35">
      <c r="A37" s="10">
        <v>15</v>
      </c>
      <c r="B37" s="10" t="s">
        <v>54</v>
      </c>
      <c r="C37" s="11" t="s">
        <v>38</v>
      </c>
      <c r="D37" s="12" t="s">
        <v>198</v>
      </c>
      <c r="E37" s="13">
        <v>100</v>
      </c>
      <c r="F37" s="63">
        <v>0</v>
      </c>
      <c r="G37" s="63">
        <v>0</v>
      </c>
      <c r="H37" s="63">
        <v>0</v>
      </c>
      <c r="I37" s="63">
        <v>0</v>
      </c>
      <c r="J37" s="63">
        <v>0</v>
      </c>
      <c r="K37" s="63">
        <v>0</v>
      </c>
      <c r="M37">
        <f t="shared" si="1"/>
        <v>1</v>
      </c>
      <c r="N37">
        <f t="shared" si="2"/>
        <v>0</v>
      </c>
      <c r="O37">
        <f t="shared" si="3"/>
        <v>0</v>
      </c>
      <c r="P37">
        <f t="shared" si="4"/>
        <v>0</v>
      </c>
      <c r="Q37">
        <f t="shared" si="5"/>
        <v>0</v>
      </c>
      <c r="R37">
        <f t="shared" si="6"/>
        <v>0</v>
      </c>
      <c r="S37">
        <f t="shared" si="7"/>
        <v>0</v>
      </c>
    </row>
    <row r="38" spans="1:19" ht="15" thickBot="1" x14ac:dyDescent="0.35">
      <c r="A38" s="10">
        <v>5</v>
      </c>
      <c r="B38" s="10" t="s">
        <v>11</v>
      </c>
      <c r="C38" s="11" t="s">
        <v>136</v>
      </c>
      <c r="D38" s="12" t="s">
        <v>183</v>
      </c>
      <c r="E38" s="13">
        <v>100</v>
      </c>
      <c r="F38" s="63">
        <v>0</v>
      </c>
      <c r="G38" s="63">
        <v>0</v>
      </c>
      <c r="H38" s="63">
        <v>0</v>
      </c>
      <c r="I38" s="63">
        <v>0</v>
      </c>
      <c r="J38" s="63">
        <v>0</v>
      </c>
      <c r="K38" s="63">
        <v>0</v>
      </c>
      <c r="M38">
        <f t="shared" si="1"/>
        <v>1</v>
      </c>
      <c r="N38">
        <f t="shared" si="2"/>
        <v>0</v>
      </c>
      <c r="O38">
        <f t="shared" si="3"/>
        <v>0</v>
      </c>
      <c r="P38">
        <f t="shared" si="4"/>
        <v>0</v>
      </c>
      <c r="Q38">
        <f t="shared" si="5"/>
        <v>0</v>
      </c>
      <c r="R38">
        <f t="shared" si="6"/>
        <v>0</v>
      </c>
      <c r="S38">
        <f t="shared" si="7"/>
        <v>0</v>
      </c>
    </row>
    <row r="39" spans="1:19" ht="15" thickBot="1" x14ac:dyDescent="0.35">
      <c r="A39" s="10">
        <v>9</v>
      </c>
      <c r="B39" s="10" t="s">
        <v>11</v>
      </c>
      <c r="C39" s="11" t="s">
        <v>134</v>
      </c>
      <c r="D39" s="12" t="s">
        <v>184</v>
      </c>
      <c r="E39" s="13">
        <v>100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0</v>
      </c>
      <c r="M39">
        <f t="shared" si="1"/>
        <v>1</v>
      </c>
      <c r="N39">
        <f t="shared" si="2"/>
        <v>0</v>
      </c>
      <c r="O39">
        <f t="shared" si="3"/>
        <v>0</v>
      </c>
      <c r="P39">
        <f t="shared" si="4"/>
        <v>0</v>
      </c>
      <c r="Q39">
        <f t="shared" si="5"/>
        <v>0</v>
      </c>
      <c r="R39">
        <f t="shared" si="6"/>
        <v>0</v>
      </c>
      <c r="S39">
        <f t="shared" si="7"/>
        <v>0</v>
      </c>
    </row>
    <row r="40" spans="1:19" ht="15" thickBot="1" x14ac:dyDescent="0.35">
      <c r="A40" s="10">
        <v>13</v>
      </c>
      <c r="B40" s="10" t="s">
        <v>129</v>
      </c>
      <c r="C40" s="11" t="s">
        <v>104</v>
      </c>
      <c r="D40" s="12" t="s">
        <v>199</v>
      </c>
      <c r="E40" s="13">
        <v>100</v>
      </c>
      <c r="F40" s="63">
        <v>0</v>
      </c>
      <c r="G40" s="63">
        <v>0</v>
      </c>
      <c r="H40" s="63">
        <v>0</v>
      </c>
      <c r="I40" s="63">
        <v>0</v>
      </c>
      <c r="J40" s="63">
        <v>0</v>
      </c>
      <c r="K40" s="63">
        <v>0</v>
      </c>
      <c r="M40">
        <f t="shared" si="1"/>
        <v>1</v>
      </c>
      <c r="N40">
        <f t="shared" si="2"/>
        <v>0</v>
      </c>
      <c r="O40">
        <f t="shared" si="3"/>
        <v>0</v>
      </c>
      <c r="P40">
        <f t="shared" si="4"/>
        <v>0</v>
      </c>
      <c r="Q40">
        <f t="shared" si="5"/>
        <v>0</v>
      </c>
      <c r="R40">
        <f t="shared" si="6"/>
        <v>0</v>
      </c>
      <c r="S40">
        <f t="shared" si="7"/>
        <v>0</v>
      </c>
    </row>
    <row r="41" spans="1:19" ht="15" thickBot="1" x14ac:dyDescent="0.35">
      <c r="A41" s="10">
        <v>13</v>
      </c>
      <c r="B41" s="10" t="s">
        <v>11</v>
      </c>
      <c r="C41" s="11" t="s">
        <v>140</v>
      </c>
      <c r="D41" s="12" t="s">
        <v>200</v>
      </c>
      <c r="E41" s="13">
        <v>100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>
        <v>0</v>
      </c>
      <c r="M41">
        <f t="shared" si="1"/>
        <v>1</v>
      </c>
      <c r="N41">
        <f t="shared" si="2"/>
        <v>0</v>
      </c>
      <c r="O41">
        <f t="shared" si="3"/>
        <v>0</v>
      </c>
      <c r="P41">
        <f t="shared" si="4"/>
        <v>0</v>
      </c>
      <c r="Q41">
        <f t="shared" si="5"/>
        <v>0</v>
      </c>
      <c r="R41">
        <f t="shared" si="6"/>
        <v>0</v>
      </c>
      <c r="S41">
        <f t="shared" si="7"/>
        <v>0</v>
      </c>
    </row>
    <row r="42" spans="1:19" ht="15" thickBot="1" x14ac:dyDescent="0.35">
      <c r="A42" s="10">
        <v>7</v>
      </c>
      <c r="B42" s="10" t="s">
        <v>129</v>
      </c>
      <c r="C42" s="11" t="s">
        <v>113</v>
      </c>
      <c r="D42" s="12" t="s">
        <v>182</v>
      </c>
      <c r="E42" s="13">
        <v>100</v>
      </c>
      <c r="F42" s="63">
        <v>0</v>
      </c>
      <c r="G42" s="63">
        <v>0</v>
      </c>
      <c r="H42" s="63">
        <v>0</v>
      </c>
      <c r="I42" s="63">
        <v>0</v>
      </c>
      <c r="J42" s="63">
        <v>0</v>
      </c>
      <c r="K42" s="63">
        <v>0</v>
      </c>
      <c r="M42">
        <f t="shared" si="1"/>
        <v>1</v>
      </c>
      <c r="N42">
        <f t="shared" si="2"/>
        <v>0</v>
      </c>
      <c r="O42">
        <f t="shared" si="3"/>
        <v>0</v>
      </c>
      <c r="P42">
        <f t="shared" si="4"/>
        <v>0</v>
      </c>
      <c r="Q42">
        <f t="shared" si="5"/>
        <v>0</v>
      </c>
      <c r="R42">
        <f t="shared" si="6"/>
        <v>0</v>
      </c>
      <c r="S42">
        <f t="shared" si="7"/>
        <v>0</v>
      </c>
    </row>
    <row r="43" spans="1:19" ht="15" thickBot="1" x14ac:dyDescent="0.35">
      <c r="A43" s="10">
        <v>12</v>
      </c>
      <c r="B43" s="10" t="s">
        <v>92</v>
      </c>
      <c r="C43" s="11" t="s">
        <v>62</v>
      </c>
      <c r="D43" s="12" t="s">
        <v>201</v>
      </c>
      <c r="E43" s="13">
        <v>100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M43">
        <f t="shared" si="1"/>
        <v>1</v>
      </c>
      <c r="N43">
        <f t="shared" si="2"/>
        <v>0</v>
      </c>
      <c r="O43">
        <f t="shared" si="3"/>
        <v>0</v>
      </c>
      <c r="P43">
        <f t="shared" si="4"/>
        <v>0</v>
      </c>
      <c r="Q43">
        <f t="shared" si="5"/>
        <v>0</v>
      </c>
      <c r="R43">
        <f t="shared" si="6"/>
        <v>0</v>
      </c>
      <c r="S43">
        <f t="shared" si="7"/>
        <v>0</v>
      </c>
    </row>
    <row r="44" spans="1:19" ht="15" thickBot="1" x14ac:dyDescent="0.35">
      <c r="A44" s="10">
        <v>14</v>
      </c>
      <c r="B44" s="10" t="s">
        <v>54</v>
      </c>
      <c r="C44" s="11" t="s">
        <v>31</v>
      </c>
      <c r="D44" s="12" t="s">
        <v>202</v>
      </c>
      <c r="E44" s="13">
        <v>100</v>
      </c>
      <c r="F44" s="63">
        <v>0</v>
      </c>
      <c r="G44" s="63">
        <v>0</v>
      </c>
      <c r="H44" s="63">
        <v>0</v>
      </c>
      <c r="I44" s="63">
        <v>0</v>
      </c>
      <c r="J44" s="63">
        <v>0</v>
      </c>
      <c r="K44" s="63">
        <v>0</v>
      </c>
      <c r="M44">
        <f t="shared" si="1"/>
        <v>1</v>
      </c>
      <c r="N44">
        <f t="shared" si="2"/>
        <v>0</v>
      </c>
      <c r="O44">
        <f t="shared" si="3"/>
        <v>0</v>
      </c>
      <c r="P44">
        <f t="shared" si="4"/>
        <v>0</v>
      </c>
      <c r="Q44">
        <f t="shared" si="5"/>
        <v>0</v>
      </c>
      <c r="R44">
        <f t="shared" si="6"/>
        <v>0</v>
      </c>
      <c r="S44">
        <f t="shared" si="7"/>
        <v>0</v>
      </c>
    </row>
    <row r="45" spans="1:19" ht="15" thickBot="1" x14ac:dyDescent="0.35">
      <c r="A45" s="10">
        <v>8</v>
      </c>
      <c r="B45" s="10" t="s">
        <v>54</v>
      </c>
      <c r="C45" s="11" t="s">
        <v>17</v>
      </c>
      <c r="D45" s="12" t="s">
        <v>183</v>
      </c>
      <c r="E45" s="13">
        <v>100</v>
      </c>
      <c r="F45" s="63">
        <v>0</v>
      </c>
      <c r="G45" s="63">
        <v>0</v>
      </c>
      <c r="H45" s="63">
        <v>0</v>
      </c>
      <c r="I45" s="63">
        <v>0</v>
      </c>
      <c r="J45" s="63">
        <v>0</v>
      </c>
      <c r="K45" s="63">
        <v>0</v>
      </c>
      <c r="M45">
        <f t="shared" si="1"/>
        <v>1</v>
      </c>
      <c r="N45">
        <f t="shared" si="2"/>
        <v>0</v>
      </c>
      <c r="O45">
        <f t="shared" si="3"/>
        <v>0</v>
      </c>
      <c r="P45">
        <f t="shared" si="4"/>
        <v>0</v>
      </c>
      <c r="Q45">
        <f t="shared" si="5"/>
        <v>0</v>
      </c>
      <c r="R45">
        <f t="shared" si="6"/>
        <v>0</v>
      </c>
      <c r="S45">
        <f t="shared" si="7"/>
        <v>0</v>
      </c>
    </row>
    <row r="46" spans="1:19" ht="15" thickBot="1" x14ac:dyDescent="0.35">
      <c r="A46" s="10">
        <v>7</v>
      </c>
      <c r="B46" s="10" t="s">
        <v>54</v>
      </c>
      <c r="C46" s="11" t="s">
        <v>33</v>
      </c>
      <c r="D46" s="12" t="s">
        <v>187</v>
      </c>
      <c r="E46" s="13">
        <v>100</v>
      </c>
      <c r="F46" s="63">
        <v>0</v>
      </c>
      <c r="G46" s="63">
        <v>0</v>
      </c>
      <c r="H46" s="63">
        <v>0</v>
      </c>
      <c r="I46" s="63">
        <v>0</v>
      </c>
      <c r="J46" s="63">
        <v>0</v>
      </c>
      <c r="K46" s="63">
        <v>0</v>
      </c>
      <c r="M46">
        <f t="shared" si="1"/>
        <v>1</v>
      </c>
      <c r="N46">
        <f t="shared" si="2"/>
        <v>0</v>
      </c>
      <c r="O46">
        <f t="shared" si="3"/>
        <v>0</v>
      </c>
      <c r="P46">
        <f t="shared" si="4"/>
        <v>0</v>
      </c>
      <c r="Q46">
        <f t="shared" si="5"/>
        <v>0</v>
      </c>
      <c r="R46">
        <f t="shared" si="6"/>
        <v>0</v>
      </c>
      <c r="S46">
        <f t="shared" si="7"/>
        <v>0</v>
      </c>
    </row>
    <row r="47" spans="1:19" ht="15" thickBot="1" x14ac:dyDescent="0.35">
      <c r="A47" s="10">
        <v>5</v>
      </c>
      <c r="B47" s="10" t="s">
        <v>129</v>
      </c>
      <c r="C47" s="11" t="s">
        <v>99</v>
      </c>
      <c r="D47" s="12" t="s">
        <v>203</v>
      </c>
      <c r="E47" s="13">
        <v>100</v>
      </c>
      <c r="F47" s="63">
        <v>0</v>
      </c>
      <c r="G47" s="63">
        <v>0</v>
      </c>
      <c r="H47" s="63">
        <v>0</v>
      </c>
      <c r="I47" s="63">
        <v>0</v>
      </c>
      <c r="J47" s="63">
        <v>0</v>
      </c>
      <c r="K47" s="63">
        <v>0</v>
      </c>
      <c r="M47">
        <f t="shared" si="1"/>
        <v>1</v>
      </c>
      <c r="N47">
        <f t="shared" si="2"/>
        <v>0</v>
      </c>
      <c r="O47">
        <f t="shared" si="3"/>
        <v>0</v>
      </c>
      <c r="P47">
        <f t="shared" si="4"/>
        <v>0</v>
      </c>
      <c r="Q47">
        <f t="shared" si="5"/>
        <v>0</v>
      </c>
      <c r="R47">
        <f t="shared" si="6"/>
        <v>0</v>
      </c>
      <c r="S47">
        <f t="shared" si="7"/>
        <v>0</v>
      </c>
    </row>
    <row r="48" spans="1:19" ht="15" thickBot="1" x14ac:dyDescent="0.35">
      <c r="A48" s="10">
        <v>8</v>
      </c>
      <c r="B48" s="10" t="s">
        <v>92</v>
      </c>
      <c r="C48" s="11" t="s">
        <v>58</v>
      </c>
      <c r="D48" s="12" t="s">
        <v>184</v>
      </c>
      <c r="E48" s="13">
        <v>100</v>
      </c>
      <c r="F48" s="63">
        <v>0</v>
      </c>
      <c r="G48" s="63">
        <v>0</v>
      </c>
      <c r="H48" s="63">
        <v>0</v>
      </c>
      <c r="I48" s="63">
        <v>0</v>
      </c>
      <c r="J48" s="63">
        <v>0</v>
      </c>
      <c r="K48" s="63">
        <v>0</v>
      </c>
      <c r="M48">
        <f t="shared" si="1"/>
        <v>1</v>
      </c>
      <c r="N48">
        <f t="shared" si="2"/>
        <v>0</v>
      </c>
      <c r="O48">
        <f t="shared" si="3"/>
        <v>0</v>
      </c>
      <c r="P48">
        <f t="shared" si="4"/>
        <v>0</v>
      </c>
      <c r="Q48">
        <f t="shared" si="5"/>
        <v>0</v>
      </c>
      <c r="R48">
        <f t="shared" si="6"/>
        <v>0</v>
      </c>
      <c r="S48">
        <f t="shared" si="7"/>
        <v>0</v>
      </c>
    </row>
    <row r="49" spans="1:19" ht="15" thickBot="1" x14ac:dyDescent="0.35">
      <c r="A49" s="10">
        <v>6</v>
      </c>
      <c r="B49" s="10" t="s">
        <v>129</v>
      </c>
      <c r="C49" s="11" t="s">
        <v>106</v>
      </c>
      <c r="D49" s="12" t="s">
        <v>184</v>
      </c>
      <c r="E49" s="13">
        <v>100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M49">
        <f t="shared" si="1"/>
        <v>1</v>
      </c>
      <c r="N49">
        <f t="shared" si="2"/>
        <v>0</v>
      </c>
      <c r="O49">
        <f t="shared" si="3"/>
        <v>0</v>
      </c>
      <c r="P49">
        <f t="shared" si="4"/>
        <v>0</v>
      </c>
      <c r="Q49">
        <f t="shared" si="5"/>
        <v>0</v>
      </c>
      <c r="R49">
        <f t="shared" si="6"/>
        <v>0</v>
      </c>
      <c r="S49">
        <f t="shared" si="7"/>
        <v>0</v>
      </c>
    </row>
    <row r="50" spans="1:19" ht="15" thickBot="1" x14ac:dyDescent="0.35">
      <c r="A50" s="10">
        <v>14</v>
      </c>
      <c r="B50" s="10" t="s">
        <v>92</v>
      </c>
      <c r="C50" s="11" t="s">
        <v>73</v>
      </c>
      <c r="D50" s="12" t="s">
        <v>204</v>
      </c>
      <c r="E50" s="13">
        <v>100</v>
      </c>
      <c r="F50" s="63">
        <v>0</v>
      </c>
      <c r="G50" s="63">
        <v>0</v>
      </c>
      <c r="H50" s="63">
        <v>0</v>
      </c>
      <c r="I50" s="63">
        <v>0</v>
      </c>
      <c r="J50" s="63">
        <v>0</v>
      </c>
      <c r="K50" s="63">
        <v>0</v>
      </c>
      <c r="M50">
        <f t="shared" si="1"/>
        <v>1</v>
      </c>
      <c r="N50">
        <f t="shared" si="2"/>
        <v>0</v>
      </c>
      <c r="O50">
        <f t="shared" si="3"/>
        <v>0</v>
      </c>
      <c r="P50">
        <f t="shared" si="4"/>
        <v>0</v>
      </c>
      <c r="Q50">
        <f t="shared" si="5"/>
        <v>0</v>
      </c>
      <c r="R50">
        <f t="shared" si="6"/>
        <v>0</v>
      </c>
      <c r="S50">
        <f t="shared" si="7"/>
        <v>0</v>
      </c>
    </row>
    <row r="51" spans="1:19" ht="15" thickBot="1" x14ac:dyDescent="0.35">
      <c r="A51" s="10">
        <v>16</v>
      </c>
      <c r="B51" s="10" t="s">
        <v>92</v>
      </c>
      <c r="C51" s="11" t="s">
        <v>205</v>
      </c>
      <c r="D51" s="12" t="s">
        <v>206</v>
      </c>
      <c r="E51" s="13">
        <v>100</v>
      </c>
      <c r="F51" s="63">
        <v>0</v>
      </c>
      <c r="G51" s="63">
        <v>0</v>
      </c>
      <c r="H51" s="63">
        <v>0</v>
      </c>
      <c r="I51" s="63">
        <v>0</v>
      </c>
      <c r="J51" s="63">
        <v>0</v>
      </c>
      <c r="K51" s="63">
        <v>0</v>
      </c>
      <c r="M51">
        <f t="shared" si="1"/>
        <v>1</v>
      </c>
      <c r="N51">
        <f t="shared" si="2"/>
        <v>0</v>
      </c>
      <c r="O51">
        <f t="shared" si="3"/>
        <v>0</v>
      </c>
      <c r="P51">
        <f t="shared" si="4"/>
        <v>0</v>
      </c>
      <c r="Q51">
        <f t="shared" si="5"/>
        <v>0</v>
      </c>
      <c r="R51">
        <f t="shared" si="6"/>
        <v>0</v>
      </c>
      <c r="S51">
        <f t="shared" si="7"/>
        <v>0</v>
      </c>
    </row>
    <row r="52" spans="1:19" ht="15" thickBot="1" x14ac:dyDescent="0.35">
      <c r="A52" s="10">
        <v>15</v>
      </c>
      <c r="B52" s="10" t="s">
        <v>129</v>
      </c>
      <c r="C52" s="11" t="s">
        <v>207</v>
      </c>
      <c r="D52" s="12" t="s">
        <v>208</v>
      </c>
      <c r="E52" s="13">
        <v>100</v>
      </c>
      <c r="F52" s="63">
        <v>0</v>
      </c>
      <c r="G52" s="63">
        <v>0</v>
      </c>
      <c r="H52" s="63">
        <v>0</v>
      </c>
      <c r="I52" s="63">
        <v>0</v>
      </c>
      <c r="J52" s="63">
        <v>0</v>
      </c>
      <c r="K52" s="63">
        <v>0</v>
      </c>
      <c r="M52">
        <f t="shared" si="1"/>
        <v>1</v>
      </c>
      <c r="N52">
        <f t="shared" si="2"/>
        <v>0</v>
      </c>
      <c r="O52">
        <f t="shared" si="3"/>
        <v>0</v>
      </c>
      <c r="P52">
        <f t="shared" si="4"/>
        <v>0</v>
      </c>
      <c r="Q52">
        <f t="shared" si="5"/>
        <v>0</v>
      </c>
      <c r="R52">
        <f t="shared" si="6"/>
        <v>0</v>
      </c>
      <c r="S52">
        <f t="shared" si="7"/>
        <v>0</v>
      </c>
    </row>
    <row r="53" spans="1:19" ht="15" thickBot="1" x14ac:dyDescent="0.35">
      <c r="A53" s="10">
        <v>16</v>
      </c>
      <c r="B53" s="10" t="s">
        <v>129</v>
      </c>
      <c r="C53" s="11" t="s">
        <v>94</v>
      </c>
      <c r="D53" s="12" t="s">
        <v>209</v>
      </c>
      <c r="E53" s="13">
        <v>100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M53">
        <f t="shared" si="1"/>
        <v>1</v>
      </c>
      <c r="N53">
        <f t="shared" si="2"/>
        <v>0</v>
      </c>
      <c r="O53">
        <f t="shared" si="3"/>
        <v>0</v>
      </c>
      <c r="P53">
        <f t="shared" si="4"/>
        <v>0</v>
      </c>
      <c r="Q53">
        <f t="shared" si="5"/>
        <v>0</v>
      </c>
      <c r="R53">
        <f t="shared" si="6"/>
        <v>0</v>
      </c>
      <c r="S53">
        <f t="shared" si="7"/>
        <v>0</v>
      </c>
    </row>
    <row r="54" spans="1:19" ht="15" thickBot="1" x14ac:dyDescent="0.35">
      <c r="A54" s="10">
        <v>11</v>
      </c>
      <c r="B54" s="10" t="s">
        <v>54</v>
      </c>
      <c r="C54" s="11" t="s">
        <v>27</v>
      </c>
      <c r="D54" s="12" t="s">
        <v>183</v>
      </c>
      <c r="E54" s="13">
        <v>100</v>
      </c>
      <c r="F54" s="63">
        <v>0</v>
      </c>
      <c r="G54" s="63">
        <v>0</v>
      </c>
      <c r="H54" s="63">
        <v>0</v>
      </c>
      <c r="I54" s="63">
        <v>0</v>
      </c>
      <c r="J54" s="63">
        <v>0</v>
      </c>
      <c r="K54" s="63">
        <v>0</v>
      </c>
      <c r="M54">
        <f t="shared" si="1"/>
        <v>1</v>
      </c>
      <c r="N54">
        <f t="shared" si="2"/>
        <v>0</v>
      </c>
      <c r="O54">
        <f t="shared" si="3"/>
        <v>0</v>
      </c>
      <c r="P54">
        <f t="shared" si="4"/>
        <v>0</v>
      </c>
      <c r="Q54">
        <f t="shared" si="5"/>
        <v>0</v>
      </c>
      <c r="R54">
        <f t="shared" si="6"/>
        <v>0</v>
      </c>
      <c r="S54">
        <f t="shared" si="7"/>
        <v>0</v>
      </c>
    </row>
    <row r="55" spans="1:19" ht="15" thickBot="1" x14ac:dyDescent="0.35">
      <c r="A55" s="10">
        <v>9</v>
      </c>
      <c r="B55" s="10" t="s">
        <v>129</v>
      </c>
      <c r="C55" s="11" t="s">
        <v>97</v>
      </c>
      <c r="D55" s="12" t="s">
        <v>184</v>
      </c>
      <c r="E55" s="13">
        <v>100</v>
      </c>
      <c r="F55" s="63">
        <v>0</v>
      </c>
      <c r="G55" s="63">
        <v>0</v>
      </c>
      <c r="H55" s="63">
        <v>0</v>
      </c>
      <c r="I55" s="63">
        <v>0</v>
      </c>
      <c r="J55" s="63">
        <v>0</v>
      </c>
      <c r="K55" s="63">
        <v>0</v>
      </c>
      <c r="M55">
        <f t="shared" si="1"/>
        <v>1</v>
      </c>
      <c r="N55">
        <f t="shared" si="2"/>
        <v>0</v>
      </c>
      <c r="O55">
        <f t="shared" si="3"/>
        <v>0</v>
      </c>
      <c r="P55">
        <f t="shared" si="4"/>
        <v>0</v>
      </c>
      <c r="Q55">
        <f t="shared" si="5"/>
        <v>0</v>
      </c>
      <c r="R55">
        <f t="shared" si="6"/>
        <v>0</v>
      </c>
      <c r="S55">
        <f t="shared" si="7"/>
        <v>0</v>
      </c>
    </row>
    <row r="56" spans="1:19" ht="15" thickBot="1" x14ac:dyDescent="0.35">
      <c r="A56" s="10">
        <v>15</v>
      </c>
      <c r="B56" s="10" t="s">
        <v>92</v>
      </c>
      <c r="C56" s="11" t="s">
        <v>79</v>
      </c>
      <c r="D56" s="12" t="s">
        <v>210</v>
      </c>
      <c r="E56" s="13">
        <v>100</v>
      </c>
      <c r="F56" s="63">
        <v>0</v>
      </c>
      <c r="G56" s="63">
        <v>0</v>
      </c>
      <c r="H56" s="63">
        <v>0</v>
      </c>
      <c r="I56" s="63">
        <v>0</v>
      </c>
      <c r="J56" s="63">
        <v>0</v>
      </c>
      <c r="K56" s="63">
        <v>0</v>
      </c>
      <c r="M56">
        <f t="shared" si="1"/>
        <v>1</v>
      </c>
      <c r="N56">
        <f t="shared" si="2"/>
        <v>0</v>
      </c>
      <c r="O56">
        <f t="shared" si="3"/>
        <v>0</v>
      </c>
      <c r="P56">
        <f t="shared" si="4"/>
        <v>0</v>
      </c>
      <c r="Q56">
        <f t="shared" si="5"/>
        <v>0</v>
      </c>
      <c r="R56">
        <f t="shared" si="6"/>
        <v>0</v>
      </c>
      <c r="S56">
        <f t="shared" si="7"/>
        <v>0</v>
      </c>
    </row>
    <row r="57" spans="1:19" ht="15" thickBot="1" x14ac:dyDescent="0.35">
      <c r="A57" s="10">
        <v>16</v>
      </c>
      <c r="B57" s="10" t="s">
        <v>11</v>
      </c>
      <c r="C57" s="11" t="s">
        <v>131</v>
      </c>
      <c r="D57" s="12" t="s">
        <v>211</v>
      </c>
      <c r="E57" s="13">
        <v>100</v>
      </c>
      <c r="F57" s="63">
        <v>0</v>
      </c>
      <c r="G57" s="63">
        <v>0</v>
      </c>
      <c r="H57" s="63">
        <v>0</v>
      </c>
      <c r="I57" s="63">
        <v>0</v>
      </c>
      <c r="J57" s="63">
        <v>0</v>
      </c>
      <c r="K57" s="63">
        <v>0</v>
      </c>
      <c r="M57">
        <f t="shared" si="1"/>
        <v>1</v>
      </c>
      <c r="N57">
        <f t="shared" si="2"/>
        <v>0</v>
      </c>
      <c r="O57">
        <f t="shared" si="3"/>
        <v>0</v>
      </c>
      <c r="P57">
        <f t="shared" si="4"/>
        <v>0</v>
      </c>
      <c r="Q57">
        <f t="shared" si="5"/>
        <v>0</v>
      </c>
      <c r="R57">
        <f t="shared" si="6"/>
        <v>0</v>
      </c>
      <c r="S57">
        <f t="shared" si="7"/>
        <v>0</v>
      </c>
    </row>
    <row r="58" spans="1:19" ht="15" thickBot="1" x14ac:dyDescent="0.35">
      <c r="A58" s="10">
        <v>14</v>
      </c>
      <c r="B58" s="10" t="s">
        <v>11</v>
      </c>
      <c r="C58" s="11" t="s">
        <v>147</v>
      </c>
      <c r="D58" s="12" t="s">
        <v>212</v>
      </c>
      <c r="E58" s="13">
        <v>100</v>
      </c>
      <c r="F58" s="63">
        <v>0</v>
      </c>
      <c r="G58" s="63">
        <v>0</v>
      </c>
      <c r="H58" s="63">
        <v>0</v>
      </c>
      <c r="I58" s="63">
        <v>0</v>
      </c>
      <c r="J58" s="63">
        <v>0</v>
      </c>
      <c r="K58" s="63">
        <v>0</v>
      </c>
      <c r="M58">
        <f t="shared" si="1"/>
        <v>1</v>
      </c>
      <c r="N58">
        <f t="shared" si="2"/>
        <v>0</v>
      </c>
      <c r="O58">
        <f t="shared" si="3"/>
        <v>0</v>
      </c>
      <c r="P58">
        <f t="shared" si="4"/>
        <v>0</v>
      </c>
      <c r="Q58">
        <f t="shared" si="5"/>
        <v>0</v>
      </c>
      <c r="R58">
        <f t="shared" si="6"/>
        <v>0</v>
      </c>
      <c r="S58">
        <f t="shared" si="7"/>
        <v>0</v>
      </c>
    </row>
    <row r="59" spans="1:19" ht="15" thickBot="1" x14ac:dyDescent="0.35">
      <c r="A59" s="10">
        <v>12</v>
      </c>
      <c r="B59" s="10" t="s">
        <v>54</v>
      </c>
      <c r="C59" s="11" t="s">
        <v>21</v>
      </c>
      <c r="D59" s="12" t="s">
        <v>213</v>
      </c>
      <c r="E59" s="13">
        <v>100</v>
      </c>
      <c r="F59" s="63">
        <v>0</v>
      </c>
      <c r="G59" s="63">
        <v>0</v>
      </c>
      <c r="H59" s="63">
        <v>0</v>
      </c>
      <c r="I59" s="63">
        <v>0</v>
      </c>
      <c r="J59" s="63">
        <v>0</v>
      </c>
      <c r="K59" s="63">
        <v>0</v>
      </c>
      <c r="M59">
        <f t="shared" si="1"/>
        <v>1</v>
      </c>
      <c r="N59">
        <f t="shared" si="2"/>
        <v>0</v>
      </c>
      <c r="O59">
        <f t="shared" si="3"/>
        <v>0</v>
      </c>
      <c r="P59">
        <f t="shared" si="4"/>
        <v>0</v>
      </c>
      <c r="Q59">
        <f t="shared" si="5"/>
        <v>0</v>
      </c>
      <c r="R59">
        <f t="shared" si="6"/>
        <v>0</v>
      </c>
      <c r="S59">
        <f t="shared" si="7"/>
        <v>0</v>
      </c>
    </row>
    <row r="60" spans="1:19" ht="15" thickBot="1" x14ac:dyDescent="0.35">
      <c r="A60" s="10">
        <v>14</v>
      </c>
      <c r="B60" s="10" t="s">
        <v>129</v>
      </c>
      <c r="C60" s="11" t="s">
        <v>111</v>
      </c>
      <c r="D60" s="12" t="s">
        <v>214</v>
      </c>
      <c r="E60" s="13">
        <v>100</v>
      </c>
      <c r="F60" s="63">
        <v>0</v>
      </c>
      <c r="G60" s="63">
        <v>0</v>
      </c>
      <c r="H60" s="63">
        <v>0</v>
      </c>
      <c r="I60" s="63">
        <v>0</v>
      </c>
      <c r="J60" s="63">
        <v>0</v>
      </c>
      <c r="K60" s="63">
        <v>0</v>
      </c>
      <c r="M60">
        <f t="shared" si="1"/>
        <v>1</v>
      </c>
      <c r="N60">
        <f t="shared" si="2"/>
        <v>0</v>
      </c>
      <c r="O60">
        <f t="shared" si="3"/>
        <v>0</v>
      </c>
      <c r="P60">
        <f t="shared" si="4"/>
        <v>0</v>
      </c>
      <c r="Q60">
        <f t="shared" si="5"/>
        <v>0</v>
      </c>
      <c r="R60">
        <f t="shared" si="6"/>
        <v>0</v>
      </c>
      <c r="S60">
        <f t="shared" si="7"/>
        <v>0</v>
      </c>
    </row>
    <row r="61" spans="1:19" ht="15" thickBot="1" x14ac:dyDescent="0.35">
      <c r="A61" s="10">
        <v>10</v>
      </c>
      <c r="B61" s="10" t="s">
        <v>11</v>
      </c>
      <c r="C61" s="11" t="s">
        <v>150</v>
      </c>
      <c r="D61" s="12" t="s">
        <v>192</v>
      </c>
      <c r="E61" s="13">
        <v>100</v>
      </c>
      <c r="F61" s="63">
        <v>0</v>
      </c>
      <c r="G61" s="63">
        <v>0</v>
      </c>
      <c r="H61" s="63">
        <v>0</v>
      </c>
      <c r="I61" s="63">
        <v>0</v>
      </c>
      <c r="J61" s="63">
        <v>0</v>
      </c>
      <c r="K61" s="63">
        <v>0</v>
      </c>
      <c r="M61">
        <f t="shared" si="1"/>
        <v>1</v>
      </c>
      <c r="N61">
        <f t="shared" si="2"/>
        <v>0</v>
      </c>
      <c r="O61">
        <f t="shared" si="3"/>
        <v>0</v>
      </c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</row>
    <row r="62" spans="1:19" ht="15" thickBot="1" x14ac:dyDescent="0.35">
      <c r="A62" s="10">
        <v>11</v>
      </c>
      <c r="B62" s="10" t="s">
        <v>92</v>
      </c>
      <c r="C62" s="11" t="s">
        <v>69</v>
      </c>
      <c r="D62" s="12" t="s">
        <v>215</v>
      </c>
      <c r="E62" s="13">
        <v>100</v>
      </c>
      <c r="F62" s="63">
        <v>0</v>
      </c>
      <c r="G62" s="63">
        <v>0</v>
      </c>
      <c r="H62" s="63">
        <v>0</v>
      </c>
      <c r="I62" s="63">
        <v>0</v>
      </c>
      <c r="J62" s="63">
        <v>0</v>
      </c>
      <c r="K62" s="63">
        <v>0</v>
      </c>
      <c r="M62">
        <f t="shared" si="1"/>
        <v>1</v>
      </c>
      <c r="N62">
        <f t="shared" si="2"/>
        <v>0</v>
      </c>
      <c r="O62">
        <f t="shared" si="3"/>
        <v>0</v>
      </c>
      <c r="P62">
        <f t="shared" si="4"/>
        <v>0</v>
      </c>
      <c r="Q62">
        <f t="shared" si="5"/>
        <v>0</v>
      </c>
      <c r="R62">
        <f t="shared" si="6"/>
        <v>0</v>
      </c>
      <c r="S62">
        <f t="shared" si="7"/>
        <v>0</v>
      </c>
    </row>
    <row r="63" spans="1:19" ht="15" thickBot="1" x14ac:dyDescent="0.35">
      <c r="A63" s="10">
        <v>10</v>
      </c>
      <c r="B63" s="10" t="s">
        <v>92</v>
      </c>
      <c r="C63" s="11" t="s">
        <v>75</v>
      </c>
      <c r="D63" s="12" t="s">
        <v>184</v>
      </c>
      <c r="E63" s="13">
        <v>100</v>
      </c>
      <c r="F63" s="63">
        <v>0</v>
      </c>
      <c r="G63" s="63">
        <v>0</v>
      </c>
      <c r="H63" s="63">
        <v>0</v>
      </c>
      <c r="I63" s="63">
        <v>0</v>
      </c>
      <c r="J63" s="63">
        <v>0</v>
      </c>
      <c r="K63" s="63">
        <v>0</v>
      </c>
      <c r="M63">
        <f t="shared" si="1"/>
        <v>1</v>
      </c>
      <c r="N63">
        <f t="shared" si="2"/>
        <v>0</v>
      </c>
      <c r="O63">
        <f t="shared" si="3"/>
        <v>0</v>
      </c>
      <c r="P63">
        <f t="shared" si="4"/>
        <v>0</v>
      </c>
      <c r="Q63">
        <f t="shared" si="5"/>
        <v>0</v>
      </c>
      <c r="R63">
        <f t="shared" si="6"/>
        <v>0</v>
      </c>
      <c r="S63">
        <f t="shared" si="7"/>
        <v>0</v>
      </c>
    </row>
    <row r="64" spans="1:19" ht="15" thickBot="1" x14ac:dyDescent="0.35">
      <c r="A64" s="10">
        <v>15</v>
      </c>
      <c r="B64" s="10" t="s">
        <v>11</v>
      </c>
      <c r="C64" s="11" t="s">
        <v>154</v>
      </c>
      <c r="D64" s="12" t="s">
        <v>216</v>
      </c>
      <c r="E64" s="13">
        <v>100</v>
      </c>
      <c r="F64" s="63">
        <v>0</v>
      </c>
      <c r="G64" s="63">
        <v>0</v>
      </c>
      <c r="H64" s="63">
        <v>0</v>
      </c>
      <c r="I64" s="63">
        <v>0</v>
      </c>
      <c r="J64" s="63">
        <v>0</v>
      </c>
      <c r="K64" s="63">
        <v>0</v>
      </c>
      <c r="M64">
        <f t="shared" si="1"/>
        <v>1</v>
      </c>
      <c r="N64">
        <f t="shared" si="2"/>
        <v>0</v>
      </c>
      <c r="O64">
        <f t="shared" si="3"/>
        <v>0</v>
      </c>
      <c r="P64">
        <f t="shared" si="4"/>
        <v>0</v>
      </c>
      <c r="Q64">
        <f t="shared" si="5"/>
        <v>0</v>
      </c>
      <c r="R64">
        <f t="shared" si="6"/>
        <v>0</v>
      </c>
      <c r="S64">
        <f t="shared" si="7"/>
        <v>0</v>
      </c>
    </row>
    <row r="65" spans="1:19" ht="15" thickBot="1" x14ac:dyDescent="0.35">
      <c r="A65" s="10">
        <v>11</v>
      </c>
      <c r="B65" s="10" t="s">
        <v>11</v>
      </c>
      <c r="C65" s="11" t="s">
        <v>143</v>
      </c>
      <c r="D65" s="12" t="s">
        <v>187</v>
      </c>
      <c r="E65" s="13">
        <v>100</v>
      </c>
      <c r="F65" s="63">
        <v>0</v>
      </c>
      <c r="G65" s="63">
        <v>0</v>
      </c>
      <c r="H65" s="63">
        <v>0</v>
      </c>
      <c r="I65" s="63">
        <v>0</v>
      </c>
      <c r="J65" s="63">
        <v>0</v>
      </c>
      <c r="K65" s="63">
        <v>0</v>
      </c>
      <c r="M65">
        <f t="shared" si="1"/>
        <v>1</v>
      </c>
      <c r="N65">
        <f t="shared" si="2"/>
        <v>0</v>
      </c>
      <c r="O65">
        <f t="shared" si="3"/>
        <v>0</v>
      </c>
      <c r="P65">
        <f t="shared" si="4"/>
        <v>0</v>
      </c>
      <c r="Q65">
        <f t="shared" si="5"/>
        <v>0</v>
      </c>
      <c r="R65">
        <f t="shared" si="6"/>
        <v>0</v>
      </c>
      <c r="S65">
        <f t="shared" si="7"/>
        <v>0</v>
      </c>
    </row>
    <row r="66" spans="1:19" ht="15" thickBot="1" x14ac:dyDescent="0.35">
      <c r="A66" s="10">
        <v>13</v>
      </c>
      <c r="B66" s="10" t="s">
        <v>54</v>
      </c>
      <c r="C66" s="11" t="s">
        <v>25</v>
      </c>
      <c r="D66" s="12" t="s">
        <v>217</v>
      </c>
      <c r="E66" s="13">
        <v>100</v>
      </c>
      <c r="F66" s="63">
        <v>0</v>
      </c>
      <c r="G66" s="63">
        <v>0</v>
      </c>
      <c r="H66" s="63">
        <v>0</v>
      </c>
      <c r="I66" s="63">
        <v>0</v>
      </c>
      <c r="J66" s="63">
        <v>0</v>
      </c>
      <c r="K66" s="63">
        <v>0</v>
      </c>
      <c r="M66">
        <f t="shared" si="1"/>
        <v>1</v>
      </c>
      <c r="N66">
        <f t="shared" si="2"/>
        <v>0</v>
      </c>
      <c r="O66">
        <f t="shared" si="3"/>
        <v>0</v>
      </c>
      <c r="P66">
        <f t="shared" si="4"/>
        <v>0</v>
      </c>
      <c r="Q66">
        <f t="shared" si="5"/>
        <v>0</v>
      </c>
      <c r="R66">
        <f t="shared" si="6"/>
        <v>0</v>
      </c>
      <c r="S66">
        <f t="shared" si="7"/>
        <v>0</v>
      </c>
    </row>
    <row r="67" spans="1:19" ht="15" thickBot="1" x14ac:dyDescent="0.35">
      <c r="A67" s="10">
        <v>16</v>
      </c>
      <c r="B67" s="10" t="s">
        <v>92</v>
      </c>
      <c r="C67" s="11" t="s">
        <v>218</v>
      </c>
      <c r="D67" s="12" t="s">
        <v>219</v>
      </c>
      <c r="E67" s="63">
        <v>0</v>
      </c>
      <c r="F67" s="63">
        <v>0</v>
      </c>
      <c r="G67" s="63">
        <v>0</v>
      </c>
      <c r="H67" s="63">
        <v>0</v>
      </c>
      <c r="I67" s="63">
        <v>0</v>
      </c>
      <c r="J67" s="63">
        <v>0</v>
      </c>
      <c r="K67" s="63">
        <v>0</v>
      </c>
    </row>
    <row r="68" spans="1:19" ht="15" thickBot="1" x14ac:dyDescent="0.35">
      <c r="A68" s="10">
        <v>16</v>
      </c>
      <c r="B68" s="10" t="s">
        <v>54</v>
      </c>
      <c r="C68" s="11" t="s">
        <v>220</v>
      </c>
      <c r="D68" s="12" t="s">
        <v>221</v>
      </c>
      <c r="E68" s="63">
        <v>0</v>
      </c>
      <c r="F68" s="63">
        <v>0</v>
      </c>
      <c r="G68" s="63">
        <v>0</v>
      </c>
      <c r="H68" s="63">
        <v>0</v>
      </c>
      <c r="I68" s="63">
        <v>0</v>
      </c>
      <c r="J68" s="63">
        <v>0</v>
      </c>
      <c r="K68" s="63">
        <v>0</v>
      </c>
    </row>
    <row r="69" spans="1:19" ht="15" thickBot="1" x14ac:dyDescent="0.35">
      <c r="A69" s="10">
        <v>11</v>
      </c>
      <c r="B69" s="10" t="s">
        <v>54</v>
      </c>
      <c r="C69" s="11" t="s">
        <v>222</v>
      </c>
      <c r="D69" s="12" t="s">
        <v>192</v>
      </c>
      <c r="E69" s="63">
        <v>0</v>
      </c>
      <c r="F69" s="63">
        <v>0</v>
      </c>
      <c r="G69" s="63">
        <v>0</v>
      </c>
      <c r="H69" s="63">
        <v>0</v>
      </c>
      <c r="I69" s="63">
        <v>0</v>
      </c>
      <c r="J69" s="63">
        <v>0</v>
      </c>
      <c r="K69" s="63">
        <v>0</v>
      </c>
    </row>
    <row r="70" spans="1:19" ht="15" thickBot="1" x14ac:dyDescent="0.35">
      <c r="A70" s="70">
        <v>11</v>
      </c>
      <c r="B70" s="70" t="s">
        <v>11</v>
      </c>
      <c r="C70" s="11" t="s">
        <v>223</v>
      </c>
      <c r="D70" s="12" t="s">
        <v>184</v>
      </c>
      <c r="E70" s="71">
        <v>0</v>
      </c>
      <c r="F70" s="71">
        <v>0</v>
      </c>
      <c r="G70" s="71">
        <v>0</v>
      </c>
      <c r="H70" s="71">
        <v>0</v>
      </c>
      <c r="I70" s="71">
        <v>0</v>
      </c>
      <c r="J70" s="71">
        <v>0</v>
      </c>
      <c r="K70" s="71">
        <v>0</v>
      </c>
    </row>
  </sheetData>
  <hyperlinks>
    <hyperlink ref="E2" r:id="rId1" display="https://barttorvik.com/tourneytime.php?&amp;conlimit=All&amp;sort=1" xr:uid="{80777A1C-5063-41F2-B1DA-1A1C2B4E3B5E}"/>
    <hyperlink ref="F2" r:id="rId2" display="https://barttorvik.com/tourneytime.php?&amp;conlimit=All&amp;sort=2" xr:uid="{2052EEF1-2420-4C45-8501-CAEC87A2ED67}"/>
    <hyperlink ref="G2" r:id="rId3" display="https://barttorvik.com/tourneytime.php?&amp;conlimit=All&amp;sort=3" xr:uid="{08EE4F01-43EF-47FD-9C18-38071D849A15}"/>
    <hyperlink ref="H2" r:id="rId4" display="https://barttorvik.com/tourneytime.php?&amp;conlimit=All&amp;sort=4" xr:uid="{40DBBD45-6C96-4CDB-B076-A7F624F8A141}"/>
    <hyperlink ref="I2" r:id="rId5" display="https://barttorvik.com/tourneytime.php?&amp;conlimit=All&amp;sort=5" xr:uid="{12D21AAB-CD2B-41FB-B415-3F426A0C36D0}"/>
    <hyperlink ref="J2" r:id="rId6" display="https://barttorvik.com/tourneytime.php?&amp;conlimit=All&amp;sort=6" xr:uid="{2F25C362-661C-451B-9E2A-D3EB3C4A9861}"/>
    <hyperlink ref="K2" r:id="rId7" display="https://barttorvik.com/tourneytime.php?&amp;conlimit=All&amp;sort=7" xr:uid="{3653B6DA-E477-4F3D-8AD8-C137D00FE49E}"/>
    <hyperlink ref="C3" r:id="rId8" display="https://barttorvik.com/team.php?team=Houston" xr:uid="{7E64B60A-B556-4125-8FD1-E18C71C1F980}"/>
    <hyperlink ref="D3" r:id="rId9" display="https://barttorvik.com/conf.php?conf=B12" xr:uid="{C0DD1472-DABC-418B-B689-412172D3D03F}"/>
    <hyperlink ref="C4" r:id="rId10" display="https://barttorvik.com/team.php?team=Duke" xr:uid="{1AE3CDC0-AD33-4335-81B8-130CA17A87CE}"/>
    <hyperlink ref="D4" r:id="rId11" display="https://barttorvik.com/conf.php?conf=ACC" xr:uid="{FEBC6E12-11C7-4239-AC04-B76B8E867EBE}"/>
    <hyperlink ref="C5" r:id="rId12" display="https://barttorvik.com/team.php?team=Auburn" xr:uid="{54D0AC45-9626-485B-8C70-24D2C33055A0}"/>
    <hyperlink ref="D5" r:id="rId13" display="https://barttorvik.com/conf.php?conf=SEC" xr:uid="{804F884C-C0E9-4AD1-884A-B73D7DF4D123}"/>
    <hyperlink ref="C6" r:id="rId14" display="https://barttorvik.com/team.php?team=Florida" xr:uid="{173530B9-8437-4E96-BB23-B1CE0E5E192C}"/>
    <hyperlink ref="D6" r:id="rId15" display="https://barttorvik.com/conf.php?conf=SEC" xr:uid="{F6BEAE5F-D37C-463C-BCA6-B76B343842C4}"/>
    <hyperlink ref="C7" r:id="rId16" display="https://barttorvik.com/team.php?team=Texas+Tech" xr:uid="{A72E4D0F-9EEE-4DB6-9E64-8A840147604D}"/>
    <hyperlink ref="D7" r:id="rId17" display="https://barttorvik.com/conf.php?conf=B12" xr:uid="{ABA973CE-D61F-4B0C-966B-D296C7505981}"/>
    <hyperlink ref="C8" r:id="rId18" display="https://barttorvik.com/team.php?team=Alabama" xr:uid="{C76859B8-3915-4152-9EB9-0A77F381BC9A}"/>
    <hyperlink ref="D8" r:id="rId19" display="https://barttorvik.com/conf.php?conf=SEC" xr:uid="{AA09EF3A-67EF-40AB-8477-178FEEE35C79}"/>
    <hyperlink ref="C9" r:id="rId20" display="https://barttorvik.com/team.php?team=Iowa+St." xr:uid="{03E8C870-6CF6-4006-80F2-52AAF6073F87}"/>
    <hyperlink ref="D9" r:id="rId21" display="https://barttorvik.com/conf.php?conf=B12" xr:uid="{02E5AA98-D719-447A-8EFA-8F338BFF585F}"/>
    <hyperlink ref="C10" r:id="rId22" display="https://barttorvik.com/team.php?team=Maryland" xr:uid="{61F71F85-3C70-4A04-9F48-EB18F2C6FEC0}"/>
    <hyperlink ref="D10" r:id="rId23" display="https://barttorvik.com/conf.php?conf=B10" xr:uid="{3EE6F595-8651-4F7B-B061-D29A5EAC1D25}"/>
    <hyperlink ref="C11" r:id="rId24" display="https://barttorvik.com/team.php?team=Tennessee" xr:uid="{108F4DC8-9955-47D4-9FF4-1711487663B3}"/>
    <hyperlink ref="D11" r:id="rId25" display="https://barttorvik.com/conf.php?conf=SEC" xr:uid="{1F001EFA-BE69-40F0-B22D-31C01D78F37B}"/>
    <hyperlink ref="C12" r:id="rId26" display="https://barttorvik.com/team.php?team=Michigan+St." xr:uid="{1AB98C94-2E65-4A91-9734-1FA3765E2C91}"/>
    <hyperlink ref="D12" r:id="rId27" display="https://barttorvik.com/conf.php?conf=B10" xr:uid="{F556973A-741F-4CA9-897F-C3D5582F0404}"/>
    <hyperlink ref="C13" r:id="rId28" display="https://barttorvik.com/team.php?team=Arizona" xr:uid="{EC03C67F-FE5C-4918-AA51-8FE41D4AA551}"/>
    <hyperlink ref="D13" r:id="rId29" display="https://barttorvik.com/conf.php?conf=B12" xr:uid="{631B8798-DD8C-4C47-B98D-62BC611B35BE}"/>
    <hyperlink ref="C14" r:id="rId30" display="https://barttorvik.com/team.php?team=St.+John%27s" xr:uid="{6448A125-08E3-446E-A453-26E5C7683536}"/>
    <hyperlink ref="D14" r:id="rId31" display="https://barttorvik.com/conf.php?conf=BE" xr:uid="{C894D113-CF4D-4EF9-B78F-308B039E3ACB}"/>
    <hyperlink ref="C15" r:id="rId32" display="https://barttorvik.com/team.php?team=Gonzaga" xr:uid="{F7177299-8C5C-47E4-9090-53A6ABF14ADA}"/>
    <hyperlink ref="D15" r:id="rId33" display="https://barttorvik.com/conf.php?conf=WCC" xr:uid="{B141BC4D-7136-4CBE-AB03-F47693FDC905}"/>
    <hyperlink ref="C16" r:id="rId34" display="https://barttorvik.com/team.php?team=Wisconsin" xr:uid="{66C97072-ED82-4C30-9E22-4F1E26E8213C}"/>
    <hyperlink ref="D16" r:id="rId35" display="https://barttorvik.com/conf.php?conf=B10" xr:uid="{9975C6AA-2DAC-4138-860B-1044AA517427}"/>
    <hyperlink ref="C17" r:id="rId36" display="https://barttorvik.com/team.php?team=BYU" xr:uid="{0A4A15A3-E538-421F-BDF3-CAF5BD6D9403}"/>
    <hyperlink ref="D17" r:id="rId37" display="https://barttorvik.com/conf.php?conf=B12" xr:uid="{F4BCA91F-0C66-4B41-8856-862B2B248D23}"/>
    <hyperlink ref="C18" r:id="rId38" display="https://barttorvik.com/team.php?team=Purdue" xr:uid="{D4D0C529-6A71-4DD4-9CC0-705E6DD58F5E}"/>
    <hyperlink ref="D18" r:id="rId39" display="https://barttorvik.com/conf.php?conf=B10" xr:uid="{4E33F730-C577-42CD-9BDE-73DC59FE46B6}"/>
    <hyperlink ref="C19" r:id="rId40" display="https://barttorvik.com/team.php?team=Kentucky" xr:uid="{AD1CD9FA-8853-43B6-A444-6E9A6AEF0598}"/>
    <hyperlink ref="D19" r:id="rId41" display="https://barttorvik.com/conf.php?conf=SEC" xr:uid="{9FFD5515-B5FF-4629-8AB6-8089628734B9}"/>
    <hyperlink ref="C20" r:id="rId42" display="https://barttorvik.com/team.php?team=Texas+A%26M" xr:uid="{AD1B20B4-94FC-444B-ADAF-BF8FBC432353}"/>
    <hyperlink ref="D20" r:id="rId43" display="https://barttorvik.com/conf.php?conf=SEC" xr:uid="{5CBAA582-D0AA-4476-B293-2A48CFAD5A3E}"/>
    <hyperlink ref="C21" r:id="rId44" display="https://barttorvik.com/team.php?team=UCLA" xr:uid="{33C8480E-1CBB-45DC-8163-E2CB8A674C60}"/>
    <hyperlink ref="D21" r:id="rId45" display="https://barttorvik.com/conf.php?conf=B10" xr:uid="{A6176CE9-5DD0-4048-AF6F-1035836B71BB}"/>
    <hyperlink ref="C22" r:id="rId46" display="https://barttorvik.com/team.php?team=Illinois" xr:uid="{CC906969-7463-4019-997E-CA81C3344D4F}"/>
    <hyperlink ref="D22" r:id="rId47" display="https://barttorvik.com/conf.php?conf=B10" xr:uid="{279AE834-F539-443A-AA34-A3E1368A7902}"/>
    <hyperlink ref="C23" r:id="rId48" display="https://barttorvik.com/team.php?team=Michigan" xr:uid="{E165B856-953E-4967-AC9F-272A8DD44877}"/>
    <hyperlink ref="D23" r:id="rId49" display="https://barttorvik.com/conf.php?conf=B10" xr:uid="{8361F64A-C7A7-47A4-A946-E0D2149E3B5F}"/>
    <hyperlink ref="C24" r:id="rId50" display="https://barttorvik.com/team.php?team=Saint+Mary%27s" xr:uid="{29DE4AD7-556E-4F8B-B7F9-D1434E5B2471}"/>
    <hyperlink ref="D24" r:id="rId51" display="https://barttorvik.com/conf.php?conf=WCC" xr:uid="{3239D4C9-828D-42EF-B18B-24DA4A6166CE}"/>
    <hyperlink ref="C25" r:id="rId52" display="https://barttorvik.com/team.php?team=Mississippi" xr:uid="{D75A3DC0-B29F-410D-9CA7-E21266890391}"/>
    <hyperlink ref="D25" r:id="rId53" display="https://barttorvik.com/conf.php?conf=SEC" xr:uid="{1F2FBB9D-9EA8-4F35-9377-2E13D5E5B4A2}"/>
    <hyperlink ref="C26" r:id="rId54" display="https://barttorvik.com/team.php?team=Creighton" xr:uid="{07A8ECC2-23BB-42C2-AF49-7BF7362A8360}"/>
    <hyperlink ref="D26" r:id="rId55" display="https://barttorvik.com/conf.php?conf=BE" xr:uid="{643719F9-7F52-41D3-8CD7-0CB14A9628BC}"/>
    <hyperlink ref="C27" r:id="rId56" display="https://barttorvik.com/team.php?team=Connecticut" xr:uid="{7AFE49B9-870D-4AE8-91D2-C2BBC9D056E0}"/>
    <hyperlink ref="D27" r:id="rId57" display="https://barttorvik.com/conf.php?conf=BE" xr:uid="{F2772C17-B1F4-44BF-9650-720AF69DF0A4}"/>
    <hyperlink ref="C28" r:id="rId58" display="https://barttorvik.com/team.php?team=Baylor" xr:uid="{6DE91D97-E47D-4E04-AFD6-E36B97FC9061}"/>
    <hyperlink ref="D28" r:id="rId59" display="https://barttorvik.com/conf.php?conf=B12" xr:uid="{1A04CA29-FA3B-44F5-8A95-E9DD7371D37D}"/>
    <hyperlink ref="C29" r:id="rId60" display="https://barttorvik.com/team.php?team=Arkansas" xr:uid="{C0F6448D-0553-4464-B5EA-12AF4E391E34}"/>
    <hyperlink ref="D29" r:id="rId61" display="https://barttorvik.com/conf.php?conf=SEC" xr:uid="{D8D4664C-1A1F-4D55-826B-9FB65884CDAA}"/>
    <hyperlink ref="C30" r:id="rId62" display="https://barttorvik.com/team.php?team=Colorado+St." xr:uid="{33886807-A576-4B6A-A09F-C9C3552D62AD}"/>
    <hyperlink ref="D30" r:id="rId63" display="https://barttorvik.com/conf.php?conf=MWC" xr:uid="{346B55F6-F334-4153-9FBF-7579161BC396}"/>
    <hyperlink ref="C31" r:id="rId64" display="https://barttorvik.com/team.php?team=New+Mexico" xr:uid="{14CE11A8-486A-4DDD-BB1D-9C8B52F14D83}"/>
    <hyperlink ref="D31" r:id="rId65" display="https://barttorvik.com/conf.php?conf=MWC" xr:uid="{973EA217-C63D-448C-887A-C2D6BA487AB7}"/>
    <hyperlink ref="C32" r:id="rId66" display="https://barttorvik.com/team.php?team=Oregon" xr:uid="{CD46BE0E-759E-45FD-94B8-AF30D1A3CC71}"/>
    <hyperlink ref="D32" r:id="rId67" display="https://barttorvik.com/conf.php?conf=B10" xr:uid="{59907921-8907-40C0-A74F-F8E093FE016D}"/>
    <hyperlink ref="C33" r:id="rId68" display="https://barttorvik.com/team.php?team=Drake" xr:uid="{1286CE63-EA86-4850-8AEA-73FCA879EA00}"/>
    <hyperlink ref="D33" r:id="rId69" display="https://barttorvik.com/conf.php?conf=MVC" xr:uid="{A450215E-C2BB-4E0E-9B34-65B3F3C4D87B}"/>
    <hyperlink ref="C34" r:id="rId70" display="https://barttorvik.com/team.php?team=McNeese+St." xr:uid="{4A722250-961A-4092-924F-62D983C266F7}"/>
    <hyperlink ref="D34" r:id="rId71" display="https://barttorvik.com/conf.php?conf=Slnd" xr:uid="{38AD02F9-E7A0-4721-BDBF-69E3DDD4A983}"/>
    <hyperlink ref="C35" r:id="rId72" display="https://barttorvik.com/team.php?team=Akron" xr:uid="{599C85A9-9632-47B8-AF24-10D606DB6B99}"/>
    <hyperlink ref="D35" r:id="rId73" display="https://barttorvik.com/conf.php?conf=MAC" xr:uid="{9FD0C4AE-6310-45BB-93FC-C9EB44050FFD}"/>
    <hyperlink ref="C36" r:id="rId74" display="https://barttorvik.com/team.php?team=Alabama+St." xr:uid="{A163C848-79EE-4616-A479-A89043F0D686}"/>
    <hyperlink ref="D36" r:id="rId75" display="https://barttorvik.com/conf.php?conf=SWAC" xr:uid="{EB3BD23B-4795-41A6-AA04-479B8A821393}"/>
    <hyperlink ref="C37" r:id="rId76" display="https://barttorvik.com/team.php?team=Bryant" xr:uid="{101AB266-B2D5-4751-BA34-DE6C7FCAA68E}"/>
    <hyperlink ref="D37" r:id="rId77" display="https://barttorvik.com/conf.php?conf=AE" xr:uid="{B83C9F90-0927-47D8-8F10-5CACEC96C3B9}"/>
    <hyperlink ref="C38" r:id="rId78" display="https://barttorvik.com/team.php?team=Clemson" xr:uid="{A8F3F8D7-C52D-40E9-98A3-DAFA6168C99C}"/>
    <hyperlink ref="D38" r:id="rId79" display="https://barttorvik.com/conf.php?conf=ACC" xr:uid="{A0B35510-0D1D-4E24-A541-9A9FD1AD0CFC}"/>
    <hyperlink ref="C39" r:id="rId80" display="https://barttorvik.com/team.php?team=Georgia" xr:uid="{378CFFCC-7471-42A6-A1BA-64B6ECE9C168}"/>
    <hyperlink ref="D39" r:id="rId81" display="https://barttorvik.com/conf.php?conf=SEC" xr:uid="{B84B451A-9701-4790-B9E3-CC8A686FD234}"/>
    <hyperlink ref="C40" r:id="rId82" display="https://barttorvik.com/team.php?team=Grand+Canyon" xr:uid="{8720F2E4-3397-4273-9097-C9B8F957B123}"/>
    <hyperlink ref="D40" r:id="rId83" display="https://barttorvik.com/conf.php?conf=WAC" xr:uid="{56BC50B7-9FA2-4557-9242-B02F761AC14C}"/>
    <hyperlink ref="C41" r:id="rId84" display="https://barttorvik.com/team.php?team=High+Point" xr:uid="{EE37E59B-BB01-4FAE-826E-21A0B1B0F0B4}"/>
    <hyperlink ref="D41" r:id="rId85" display="https://barttorvik.com/conf.php?conf=BSth" xr:uid="{3CFF691B-F432-4031-B4BC-6003902F43DD}"/>
    <hyperlink ref="C42" r:id="rId86" display="https://barttorvik.com/team.php?team=Kansas" xr:uid="{9F6FEB2A-D48C-4B61-8A1D-C011BFB66B96}"/>
    <hyperlink ref="D42" r:id="rId87" display="https://barttorvik.com/conf.php?conf=B12" xr:uid="{97E42625-863E-4492-BA21-2B1FFDFA127A}"/>
    <hyperlink ref="C43" r:id="rId88" display="https://barttorvik.com/team.php?team=Liberty" xr:uid="{F4CC2E1B-D8B5-4259-A41E-30EC83CA0C85}"/>
    <hyperlink ref="D43" r:id="rId89" display="https://barttorvik.com/conf.php?conf=CUSA" xr:uid="{50BC6C35-5899-4C7B-AA17-4DFFD2C0921A}"/>
    <hyperlink ref="C44" r:id="rId90" display="https://barttorvik.com/team.php?team=Lipscomb" xr:uid="{DBF2DA12-D46C-43A1-A3FD-249C44F8CC3E}"/>
    <hyperlink ref="D44" r:id="rId91" display="https://barttorvik.com/conf.php?conf=ASun" xr:uid="{3AE901B3-1643-46CB-976C-7F9FD0861E5A}"/>
    <hyperlink ref="C45" r:id="rId92" display="https://barttorvik.com/team.php?team=Louisville" xr:uid="{4F603184-89E2-4FF3-BBFA-60403E65D355}"/>
    <hyperlink ref="D45" r:id="rId93" display="https://barttorvik.com/conf.php?conf=ACC" xr:uid="{8ACB5046-4D08-4D91-AD02-7657C9FE1CEC}"/>
    <hyperlink ref="C46" r:id="rId94" display="https://barttorvik.com/team.php?team=Marquette" xr:uid="{352D1D18-B65A-4D07-B54C-17328742990D}"/>
    <hyperlink ref="D46" r:id="rId95" display="https://barttorvik.com/conf.php?conf=BE" xr:uid="{6E9F86D1-67C9-46E3-BB71-9EEFEEAE369B}"/>
    <hyperlink ref="C47" r:id="rId96" display="https://barttorvik.com/team.php?team=Memphis" xr:uid="{3A323AB4-512A-4E1D-88F4-64DDE9284CBB}"/>
    <hyperlink ref="D47" r:id="rId97" display="https://barttorvik.com/conf.php?conf=Amer" xr:uid="{CF2B3323-3D80-4725-B2BD-A5873D7C7EEA}"/>
    <hyperlink ref="C48" r:id="rId98" display="https://barttorvik.com/team.php?team=Mississippi+St." xr:uid="{B226BF07-B6D3-460B-9CB2-9C09BB09DC0F}"/>
    <hyperlink ref="D48" r:id="rId99" display="https://barttorvik.com/conf.php?conf=SEC" xr:uid="{467A6395-8389-4F05-9586-4FC9D772DAE9}"/>
    <hyperlink ref="C49" r:id="rId100" display="https://barttorvik.com/team.php?team=Missouri" xr:uid="{14B4E8C9-F635-440E-9180-F363007DCF9B}"/>
    <hyperlink ref="D49" r:id="rId101" display="https://barttorvik.com/conf.php?conf=SEC" xr:uid="{EFF7DB9D-1A3E-4B69-BAB7-E2A26DDEEDA7}"/>
    <hyperlink ref="C50" r:id="rId102" display="https://barttorvik.com/team.php?team=Montana" xr:uid="{1E271AB4-580B-47AD-805D-E4420323460F}"/>
    <hyperlink ref="D50" r:id="rId103" display="https://barttorvik.com/conf.php?conf=BSky" xr:uid="{C6CE3C21-86B8-45F8-BC51-35FC04DBA731}"/>
    <hyperlink ref="C51" r:id="rId104" display="https://barttorvik.com/team.php?team=Mount+St.+Mary%27s" xr:uid="{D2DFE2CA-7919-4A61-AF6D-43C015E48A96}"/>
    <hyperlink ref="D51" r:id="rId105" display="https://barttorvik.com/conf.php?conf=MAAC" xr:uid="{0154B37F-40CE-4A90-9F92-4E43EE53FF72}"/>
    <hyperlink ref="C52" r:id="rId106" display="https://barttorvik.com/team.php?team=Nebraska+Omaha" xr:uid="{64C272FC-031A-41C7-8673-6986741BADC0}"/>
    <hyperlink ref="D52" r:id="rId107" display="https://barttorvik.com/conf.php?conf=Sum" xr:uid="{31A25A54-FBBB-468F-A20C-955092EF9E6A}"/>
    <hyperlink ref="C53" r:id="rId108" display="https://barttorvik.com/team.php?team=Norfolk+St." xr:uid="{E56E8D2E-3467-4648-9B58-100F8C0C926D}"/>
    <hyperlink ref="D53" r:id="rId109" display="https://barttorvik.com/conf.php?conf=MEAC" xr:uid="{650AC464-F075-4F47-95C3-ADDDD9D8DDA0}"/>
    <hyperlink ref="C54" r:id="rId110" display="https://barttorvik.com/team.php?team=North+Carolina" xr:uid="{57282D6F-038F-4279-9C29-BAEC02FF488B}"/>
    <hyperlink ref="D54" r:id="rId111" display="https://barttorvik.com/conf.php?conf=ACC" xr:uid="{F1FC0D28-6071-429D-ACF3-8F9CE427FFD3}"/>
    <hyperlink ref="C55" r:id="rId112" display="https://barttorvik.com/team.php?team=Oklahoma" xr:uid="{CFDAE91D-7FF9-42ED-ACA5-2F656CF2CA56}"/>
    <hyperlink ref="D55" r:id="rId113" display="https://barttorvik.com/conf.php?conf=SEC" xr:uid="{02AADCD1-B6C1-4481-9FA7-57276B6CCA61}"/>
    <hyperlink ref="C56" r:id="rId114" display="https://barttorvik.com/team.php?team=Robert+Morris" xr:uid="{9D6D9684-10CE-4BDD-A2A7-36143915CCE1}"/>
    <hyperlink ref="D56" r:id="rId115" display="https://barttorvik.com/conf.php?conf=Horz" xr:uid="{198EE8CF-D0C8-4985-AA37-FA7A04AB8963}"/>
    <hyperlink ref="C57" r:id="rId116" display="https://barttorvik.com/team.php?team=SIU+Edwardsville" xr:uid="{DA863A65-5B9D-47CC-83BB-C6DB679605F9}"/>
    <hyperlink ref="D57" r:id="rId117" display="https://barttorvik.com/conf.php?conf=OVC" xr:uid="{B8A037ED-E959-4848-B9C0-EE9C40F8D69E}"/>
    <hyperlink ref="C58" r:id="rId118" display="https://barttorvik.com/team.php?team=Troy" xr:uid="{CADD2700-9BF3-4619-B4EE-BF01EDE631F8}"/>
    <hyperlink ref="D58" r:id="rId119" display="https://barttorvik.com/conf.php?conf=SB" xr:uid="{6FF88423-5750-4B0A-8244-0480ABC011EA}"/>
    <hyperlink ref="C59" r:id="rId120" display="https://barttorvik.com/team.php?team=UC+San+Diego" xr:uid="{0165392C-7A76-4051-A335-47D79BF2C044}"/>
    <hyperlink ref="D59" r:id="rId121" display="https://barttorvik.com/conf.php?conf=BW" xr:uid="{7D8E84DE-B1F8-4BC3-9A2F-091080F0AEFD}"/>
    <hyperlink ref="C60" r:id="rId122" display="https://barttorvik.com/team.php?team=UNC+Wilmington" xr:uid="{2C678169-5477-40D9-8CDF-B3DCB0EBF8D3}"/>
    <hyperlink ref="D60" r:id="rId123" display="https://barttorvik.com/conf.php?conf=CAA" xr:uid="{25EB0D1F-3B55-4F1E-BB37-52DAF7FC4045}"/>
    <hyperlink ref="C61" r:id="rId124" display="https://barttorvik.com/team.php?team=Utah+St." xr:uid="{6C20BEFB-87A0-40A4-8F79-F5C9F9E5B614}"/>
    <hyperlink ref="D61" r:id="rId125" display="https://barttorvik.com/conf.php?conf=MWC" xr:uid="{74BF76F4-3145-4FD5-99AE-415743329305}"/>
    <hyperlink ref="C62" r:id="rId126" display="https://barttorvik.com/team.php?team=VCU" xr:uid="{55FD12FE-58A5-4B02-BF26-B46F936DF3DD}"/>
    <hyperlink ref="D62" r:id="rId127" display="https://barttorvik.com/conf.php?conf=A10" xr:uid="{B304991F-5013-4A68-A64D-9518C3DF0A6A}"/>
    <hyperlink ref="C63" r:id="rId128" display="https://barttorvik.com/team.php?team=Vanderbilt" xr:uid="{8088023C-5365-4529-9A14-A53FD6C142C7}"/>
    <hyperlink ref="D63" r:id="rId129" display="https://barttorvik.com/conf.php?conf=SEC" xr:uid="{9CD2174A-7F77-4474-93EA-053EDCDEB7B8}"/>
    <hyperlink ref="C64" r:id="rId130" display="https://barttorvik.com/team.php?team=Wofford" xr:uid="{28190ED0-7BBF-4D38-8ED4-3863A1C4EB3E}"/>
    <hyperlink ref="D64" r:id="rId131" display="https://barttorvik.com/conf.php?conf=SC" xr:uid="{BD96821F-3F1B-4CFE-BBB8-2E8C6CB8C23A}"/>
    <hyperlink ref="C65" r:id="rId132" display="https://barttorvik.com/team.php?team=Xavier" xr:uid="{CCA1F431-9639-4629-9FC4-D17A3E78165C}"/>
    <hyperlink ref="D65" r:id="rId133" display="https://barttorvik.com/conf.php?conf=BE" xr:uid="{A2E0CB8A-4C88-4F3C-868E-84FCDD079102}"/>
    <hyperlink ref="C66" r:id="rId134" display="https://barttorvik.com/team.php?team=Yale" xr:uid="{F9241A98-4832-48DA-BDB4-30F7035BFF68}"/>
    <hyperlink ref="D66" r:id="rId135" display="https://barttorvik.com/conf.php?conf=Ivy" xr:uid="{8FD46AE6-F471-4318-8EE0-4B458CFCC7A6}"/>
    <hyperlink ref="C67" r:id="rId136" display="https://barttorvik.com/team.php?team=American" xr:uid="{C70B861B-9679-49C8-A1A6-B4816FA94739}"/>
    <hyperlink ref="D67" r:id="rId137" display="https://barttorvik.com/conf.php?conf=Pat" xr:uid="{18FB8F32-EA2D-4CC2-B1A6-02904B5B18F7}"/>
    <hyperlink ref="C68" r:id="rId138" display="https://barttorvik.com/team.php?team=Saint+Francis" xr:uid="{2DFF98BC-EFF1-468A-B604-FD76C1CD02D0}"/>
    <hyperlink ref="D68" r:id="rId139" display="https://barttorvik.com/conf.php?conf=NEC" xr:uid="{6F0DDD92-2848-4D9B-B5C9-BA94F6A63A03}"/>
    <hyperlink ref="C69" r:id="rId140" display="https://barttorvik.com/team.php?team=San+Diego+St." xr:uid="{52123137-DF81-41B3-8442-D8EED3E362D0}"/>
    <hyperlink ref="D69" r:id="rId141" display="https://barttorvik.com/conf.php?conf=MWC" xr:uid="{730BD622-FA68-4280-B18F-E7BDBB497B65}"/>
    <hyperlink ref="C70" r:id="rId142" display="https://barttorvik.com/team.php?team=Texas" xr:uid="{47D1A51A-CC28-47B3-A1EE-1E7CB33316FC}"/>
    <hyperlink ref="D70" r:id="rId143" display="https://barttorvik.com/conf.php?conf=SEC" xr:uid="{FBF8652C-9D3B-436B-B15D-F7AACBD14E9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DA776-987A-4DEA-8A72-1BBBEE65446C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C0E77-04E0-43A4-ACFA-02DFCF051D4A}">
  <sheetPr codeName="Sheet3"/>
  <dimension ref="A1:A68"/>
  <sheetViews>
    <sheetView workbookViewId="0">
      <selection sqref="A1:A68"/>
    </sheetView>
  </sheetViews>
  <sheetFormatPr defaultRowHeight="14.4" x14ac:dyDescent="0.3"/>
  <sheetData>
    <row r="1" spans="1:1" x14ac:dyDescent="0.3">
      <c r="A1" t="s">
        <v>130</v>
      </c>
    </row>
    <row r="2" spans="1:1" x14ac:dyDescent="0.3">
      <c r="A2" t="s">
        <v>55</v>
      </c>
    </row>
    <row r="3" spans="1:1" x14ac:dyDescent="0.3">
      <c r="A3" t="s">
        <v>14</v>
      </c>
    </row>
    <row r="4" spans="1:1" x14ac:dyDescent="0.3">
      <c r="A4" t="s">
        <v>93</v>
      </c>
    </row>
    <row r="5" spans="1:1" x14ac:dyDescent="0.3">
      <c r="A5" t="s">
        <v>110</v>
      </c>
    </row>
    <row r="6" spans="1:1" x14ac:dyDescent="0.3">
      <c r="A6" t="s">
        <v>78</v>
      </c>
    </row>
    <row r="7" spans="1:1" x14ac:dyDescent="0.3">
      <c r="A7" t="s">
        <v>30</v>
      </c>
    </row>
    <row r="8" spans="1:1" x14ac:dyDescent="0.3">
      <c r="A8" t="s">
        <v>103</v>
      </c>
    </row>
    <row r="9" spans="1:1" x14ac:dyDescent="0.3">
      <c r="A9" t="s">
        <v>153</v>
      </c>
    </row>
    <row r="10" spans="1:1" x14ac:dyDescent="0.3">
      <c r="A10" t="s">
        <v>37</v>
      </c>
    </row>
    <row r="11" spans="1:1" x14ac:dyDescent="0.3">
      <c r="A11" t="s">
        <v>65</v>
      </c>
    </row>
    <row r="12" spans="1:1" x14ac:dyDescent="0.3">
      <c r="A12" t="s">
        <v>186</v>
      </c>
    </row>
    <row r="13" spans="1:1" x14ac:dyDescent="0.3">
      <c r="A13" t="s">
        <v>6</v>
      </c>
    </row>
    <row r="14" spans="1:1" x14ac:dyDescent="0.3">
      <c r="A14" t="s">
        <v>72</v>
      </c>
    </row>
    <row r="15" spans="1:1" x14ac:dyDescent="0.3">
      <c r="A15" t="s">
        <v>68</v>
      </c>
    </row>
    <row r="16" spans="1:1" x14ac:dyDescent="0.3">
      <c r="A16" t="s">
        <v>139</v>
      </c>
    </row>
    <row r="17" spans="1:1" x14ac:dyDescent="0.3">
      <c r="A17" t="s">
        <v>146</v>
      </c>
    </row>
    <row r="18" spans="1:1" x14ac:dyDescent="0.3">
      <c r="A18" t="s">
        <v>24</v>
      </c>
    </row>
    <row r="19" spans="1:1" x14ac:dyDescent="0.3">
      <c r="A19" t="s">
        <v>149</v>
      </c>
    </row>
    <row r="20" spans="1:1" x14ac:dyDescent="0.3">
      <c r="A20" t="s">
        <v>142</v>
      </c>
    </row>
    <row r="21" spans="1:1" x14ac:dyDescent="0.3">
      <c r="A21" t="s">
        <v>20</v>
      </c>
    </row>
    <row r="22" spans="1:1" x14ac:dyDescent="0.3">
      <c r="A22" t="s">
        <v>189</v>
      </c>
    </row>
    <row r="23" spans="1:1" x14ac:dyDescent="0.3">
      <c r="A23" t="s">
        <v>190</v>
      </c>
    </row>
    <row r="24" spans="1:1" x14ac:dyDescent="0.3">
      <c r="A24" t="s">
        <v>18</v>
      </c>
    </row>
    <row r="25" spans="1:1" x14ac:dyDescent="0.3">
      <c r="A25" t="s">
        <v>191</v>
      </c>
    </row>
    <row r="26" spans="1:1" x14ac:dyDescent="0.3">
      <c r="A26" t="s">
        <v>59</v>
      </c>
    </row>
    <row r="27" spans="1:1" x14ac:dyDescent="0.3">
      <c r="A27" t="s">
        <v>114</v>
      </c>
    </row>
    <row r="28" spans="1:1" x14ac:dyDescent="0.3">
      <c r="A28" t="s">
        <v>100</v>
      </c>
    </row>
    <row r="29" spans="1:1" x14ac:dyDescent="0.3">
      <c r="A29" t="s">
        <v>34</v>
      </c>
    </row>
    <row r="30" spans="1:1" x14ac:dyDescent="0.3">
      <c r="A30" t="s">
        <v>61</v>
      </c>
    </row>
    <row r="31" spans="1:1" x14ac:dyDescent="0.3">
      <c r="A31" t="s">
        <v>107</v>
      </c>
    </row>
    <row r="32" spans="1:1" x14ac:dyDescent="0.3">
      <c r="A32" t="s">
        <v>194</v>
      </c>
    </row>
    <row r="33" spans="1:1" x14ac:dyDescent="0.3">
      <c r="A33" t="s">
        <v>66</v>
      </c>
    </row>
    <row r="34" spans="1:1" x14ac:dyDescent="0.3">
      <c r="A34" t="s">
        <v>12</v>
      </c>
    </row>
    <row r="35" spans="1:1" x14ac:dyDescent="0.3">
      <c r="A35" t="s">
        <v>38</v>
      </c>
    </row>
    <row r="36" spans="1:1" x14ac:dyDescent="0.3">
      <c r="A36" t="s">
        <v>136</v>
      </c>
    </row>
    <row r="37" spans="1:1" x14ac:dyDescent="0.3">
      <c r="A37" t="s">
        <v>134</v>
      </c>
    </row>
    <row r="38" spans="1:1" x14ac:dyDescent="0.3">
      <c r="A38" t="s">
        <v>104</v>
      </c>
    </row>
    <row r="39" spans="1:1" x14ac:dyDescent="0.3">
      <c r="A39" t="s">
        <v>140</v>
      </c>
    </row>
    <row r="40" spans="1:1" x14ac:dyDescent="0.3">
      <c r="A40" t="s">
        <v>113</v>
      </c>
    </row>
    <row r="41" spans="1:1" x14ac:dyDescent="0.3">
      <c r="A41" t="s">
        <v>62</v>
      </c>
    </row>
    <row r="42" spans="1:1" x14ac:dyDescent="0.3">
      <c r="A42" t="s">
        <v>31</v>
      </c>
    </row>
    <row r="43" spans="1:1" x14ac:dyDescent="0.3">
      <c r="A43" t="s">
        <v>17</v>
      </c>
    </row>
    <row r="44" spans="1:1" x14ac:dyDescent="0.3">
      <c r="A44" t="s">
        <v>33</v>
      </c>
    </row>
    <row r="45" spans="1:1" x14ac:dyDescent="0.3">
      <c r="A45" t="s">
        <v>99</v>
      </c>
    </row>
    <row r="46" spans="1:1" x14ac:dyDescent="0.3">
      <c r="A46" t="s">
        <v>58</v>
      </c>
    </row>
    <row r="47" spans="1:1" x14ac:dyDescent="0.3">
      <c r="A47" t="s">
        <v>106</v>
      </c>
    </row>
    <row r="48" spans="1:1" x14ac:dyDescent="0.3">
      <c r="A48" t="s">
        <v>73</v>
      </c>
    </row>
    <row r="49" spans="1:1" x14ac:dyDescent="0.3">
      <c r="A49" t="s">
        <v>205</v>
      </c>
    </row>
    <row r="50" spans="1:1" x14ac:dyDescent="0.3">
      <c r="A50" t="s">
        <v>207</v>
      </c>
    </row>
    <row r="51" spans="1:1" x14ac:dyDescent="0.3">
      <c r="A51" t="s">
        <v>94</v>
      </c>
    </row>
    <row r="52" spans="1:1" x14ac:dyDescent="0.3">
      <c r="A52" t="s">
        <v>27</v>
      </c>
    </row>
    <row r="53" spans="1:1" x14ac:dyDescent="0.3">
      <c r="A53" t="s">
        <v>97</v>
      </c>
    </row>
    <row r="54" spans="1:1" x14ac:dyDescent="0.3">
      <c r="A54" t="s">
        <v>79</v>
      </c>
    </row>
    <row r="55" spans="1:1" x14ac:dyDescent="0.3">
      <c r="A55" t="s">
        <v>131</v>
      </c>
    </row>
    <row r="56" spans="1:1" x14ac:dyDescent="0.3">
      <c r="A56" t="s">
        <v>147</v>
      </c>
    </row>
    <row r="57" spans="1:1" x14ac:dyDescent="0.3">
      <c r="A57" t="s">
        <v>21</v>
      </c>
    </row>
    <row r="58" spans="1:1" x14ac:dyDescent="0.3">
      <c r="A58" t="s">
        <v>111</v>
      </c>
    </row>
    <row r="59" spans="1:1" x14ac:dyDescent="0.3">
      <c r="A59" t="s">
        <v>150</v>
      </c>
    </row>
    <row r="60" spans="1:1" x14ac:dyDescent="0.3">
      <c r="A60" t="s">
        <v>69</v>
      </c>
    </row>
    <row r="61" spans="1:1" x14ac:dyDescent="0.3">
      <c r="A61" t="s">
        <v>75</v>
      </c>
    </row>
    <row r="62" spans="1:1" x14ac:dyDescent="0.3">
      <c r="A62" t="s">
        <v>154</v>
      </c>
    </row>
    <row r="63" spans="1:1" x14ac:dyDescent="0.3">
      <c r="A63" t="s">
        <v>143</v>
      </c>
    </row>
    <row r="64" spans="1:1" x14ac:dyDescent="0.3">
      <c r="A64" t="s">
        <v>25</v>
      </c>
    </row>
    <row r="65" spans="1:1" x14ac:dyDescent="0.3">
      <c r="A65" t="s">
        <v>218</v>
      </c>
    </row>
    <row r="66" spans="1:1" x14ac:dyDescent="0.3">
      <c r="A66" t="s">
        <v>220</v>
      </c>
    </row>
    <row r="67" spans="1:1" x14ac:dyDescent="0.3">
      <c r="A67" t="s">
        <v>222</v>
      </c>
    </row>
    <row r="68" spans="1:1" x14ac:dyDescent="0.3">
      <c r="A68" t="s">
        <v>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Sheet2</vt:lpstr>
      <vt:lpstr>Picks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Dudziak</dc:creator>
  <cp:lastModifiedBy>Noah Dudziak</cp:lastModifiedBy>
  <dcterms:created xsi:type="dcterms:W3CDTF">2025-03-22T15:25:22Z</dcterms:created>
  <dcterms:modified xsi:type="dcterms:W3CDTF">2025-03-22T22:51:17Z</dcterms:modified>
</cp:coreProperties>
</file>